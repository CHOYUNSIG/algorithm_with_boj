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algorithm_with_boj\"/>
    </mc:Choice>
  </mc:AlternateContent>
  <xr:revisionPtr revIDLastSave="0" documentId="13_ncr:1_{6F3FDAE2-17F2-4348-93DF-DAC4810F4546}" xr6:coauthVersionLast="47" xr6:coauthVersionMax="47" xr10:uidLastSave="{00000000-0000-0000-0000-000000000000}"/>
  <bookViews>
    <workbookView xWindow="3945" yWindow="1320" windowWidth="21810" windowHeight="13605" activeTab="2" xr2:uid="{00000000-000D-0000-FFFF-FFFF00000000}"/>
  </bookViews>
  <sheets>
    <sheet name="common" sheetId="2" r:id="rId1"/>
    <sheet name="params" sheetId="7" r:id="rId2"/>
    <sheet name="database" sheetId="1" r:id="rId3"/>
    <sheet name="posts" sheetId="4" r:id="rId4"/>
    <sheet name="tag_diff" sheetId="6" r:id="rId5"/>
    <sheet name="calc" sheetId="3" state="hidden" r:id="rId6"/>
    <sheet name="post-link-extract" sheetId="5" state="hidden" r:id="rId7"/>
  </sheets>
  <definedNames>
    <definedName name="_xlnm._FilterDatabase" localSheetId="2" hidden="1">database!$A$1:$G$206</definedName>
    <definedName name="_xlnm._FilterDatabase" localSheetId="4" hidden="1">tag_diff!$A$1:$BL$206</definedName>
    <definedName name="current_path">'post-link-extract'!$G$2</definedName>
    <definedName name="ExternalData_1" localSheetId="3" hidden="1">posts!$A$1:$F$14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" i="1"/>
  <c r="D3" i="1"/>
  <c r="D86" i="1"/>
  <c r="E86" i="1" s="1"/>
  <c r="D87" i="1"/>
  <c r="E87" i="1" s="1"/>
  <c r="D4" i="1"/>
  <c r="E4" i="1" s="1"/>
  <c r="D7" i="1"/>
  <c r="D100" i="1"/>
  <c r="E100" i="1" s="1"/>
  <c r="D105" i="1"/>
  <c r="E105" i="1" s="1"/>
  <c r="D131" i="1"/>
  <c r="E131" i="1" s="1"/>
  <c r="D204" i="1"/>
  <c r="E204" i="1" s="1"/>
  <c r="D206" i="1"/>
  <c r="E206" i="1" s="1"/>
  <c r="D81" i="1"/>
  <c r="E81" i="1" s="1"/>
  <c r="D118" i="1"/>
  <c r="E118" i="1" s="1"/>
  <c r="D38" i="1"/>
  <c r="E38" i="1" s="1"/>
  <c r="D171" i="1"/>
  <c r="D80" i="1"/>
  <c r="D88" i="1"/>
  <c r="D74" i="1"/>
  <c r="D102" i="1"/>
  <c r="E102" i="1" s="1"/>
  <c r="D90" i="1"/>
  <c r="D89" i="1"/>
  <c r="E89" i="1" s="1"/>
  <c r="D91" i="1"/>
  <c r="D92" i="1"/>
  <c r="D115" i="1"/>
  <c r="E115" i="1" s="1"/>
  <c r="D85" i="1"/>
  <c r="E85" i="1" s="1"/>
  <c r="D47" i="1"/>
  <c r="E47" i="1" s="1"/>
  <c r="D15" i="1"/>
  <c r="D157" i="1"/>
  <c r="D109" i="1"/>
  <c r="E109" i="1" s="1"/>
  <c r="D154" i="1"/>
  <c r="E154" i="1" s="1"/>
  <c r="D58" i="1"/>
  <c r="E58" i="1" s="1"/>
  <c r="D137" i="1"/>
  <c r="D136" i="1"/>
  <c r="D155" i="1"/>
  <c r="D10" i="1"/>
  <c r="E10" i="1" s="1"/>
  <c r="D134" i="1"/>
  <c r="D175" i="1"/>
  <c r="E175" i="1" s="1"/>
  <c r="D49" i="1"/>
  <c r="D28" i="1"/>
  <c r="D45" i="1"/>
  <c r="E45" i="1" s="1"/>
  <c r="D46" i="1"/>
  <c r="D61" i="1"/>
  <c r="E61" i="1" s="1"/>
  <c r="D44" i="1"/>
  <c r="D57" i="1"/>
  <c r="E57" i="1" s="1"/>
  <c r="D84" i="1"/>
  <c r="D203" i="1"/>
  <c r="E203" i="1" s="1"/>
  <c r="D164" i="1"/>
  <c r="E164" i="1" s="1"/>
  <c r="D156" i="1"/>
  <c r="D166" i="1"/>
  <c r="D169" i="1"/>
  <c r="D120" i="1"/>
  <c r="E120" i="1" s="1"/>
  <c r="D111" i="1"/>
  <c r="D116" i="1"/>
  <c r="E116" i="1" s="1"/>
  <c r="D29" i="1"/>
  <c r="D143" i="1"/>
  <c r="D122" i="1"/>
  <c r="E122" i="1" s="1"/>
  <c r="D124" i="1"/>
  <c r="E124" i="1" s="1"/>
  <c r="D126" i="1"/>
  <c r="E126" i="1" s="1"/>
  <c r="D133" i="1"/>
  <c r="D132" i="1"/>
  <c r="E132" i="1" s="1"/>
  <c r="D165" i="1"/>
  <c r="D189" i="1"/>
  <c r="D147" i="1"/>
  <c r="E147" i="1" s="1"/>
  <c r="D27" i="1"/>
  <c r="D128" i="1"/>
  <c r="D94" i="1"/>
  <c r="D40" i="1"/>
  <c r="E40" i="1" s="1"/>
  <c r="D106" i="1"/>
  <c r="E106" i="1" s="1"/>
  <c r="D11" i="1"/>
  <c r="E11" i="1" s="1"/>
  <c r="D25" i="1"/>
  <c r="D14" i="1"/>
  <c r="D12" i="1"/>
  <c r="E12" i="1" s="1"/>
  <c r="D13" i="1"/>
  <c r="D145" i="1"/>
  <c r="E145" i="1" s="1"/>
  <c r="D205" i="1"/>
  <c r="E205" i="1" s="1"/>
  <c r="D121" i="1"/>
  <c r="E121" i="1" s="1"/>
  <c r="D37" i="1"/>
  <c r="E37" i="1" s="1"/>
  <c r="D33" i="1"/>
  <c r="E33" i="1" s="1"/>
  <c r="D151" i="1"/>
  <c r="E151" i="1" s="1"/>
  <c r="D63" i="1"/>
  <c r="E63" i="1" s="1"/>
  <c r="D54" i="1"/>
  <c r="E54" i="1" s="1"/>
  <c r="D55" i="1"/>
  <c r="D56" i="1"/>
  <c r="E56" i="1" s="1"/>
  <c r="D72" i="1"/>
  <c r="D24" i="1"/>
  <c r="E24" i="1" s="1"/>
  <c r="D149" i="1"/>
  <c r="D23" i="1"/>
  <c r="D22" i="1"/>
  <c r="E22" i="1" s="1"/>
  <c r="D59" i="1"/>
  <c r="E59" i="1" s="1"/>
  <c r="D9" i="1"/>
  <c r="D193" i="1"/>
  <c r="D83" i="1"/>
  <c r="D21" i="1"/>
  <c r="E21" i="1" s="1"/>
  <c r="D34" i="1"/>
  <c r="D112" i="1"/>
  <c r="E112" i="1" s="1"/>
  <c r="D26" i="1"/>
  <c r="D114" i="1"/>
  <c r="D113" i="1"/>
  <c r="D172" i="1"/>
  <c r="E172" i="1" s="1"/>
  <c r="D30" i="1"/>
  <c r="D31" i="1"/>
  <c r="E31" i="1" s="1"/>
  <c r="D158" i="1"/>
  <c r="D139" i="1"/>
  <c r="E139" i="1" s="1"/>
  <c r="D123" i="1"/>
  <c r="E123" i="1" s="1"/>
  <c r="D146" i="1"/>
  <c r="E146" i="1" s="1"/>
  <c r="D192" i="1"/>
  <c r="E192" i="1" s="1"/>
  <c r="D186" i="1"/>
  <c r="E186" i="1" s="1"/>
  <c r="D188" i="1"/>
  <c r="D183" i="1"/>
  <c r="D182" i="1"/>
  <c r="D177" i="1"/>
  <c r="D176" i="1"/>
  <c r="D65" i="1"/>
  <c r="D66" i="1"/>
  <c r="D6" i="1"/>
  <c r="E6" i="1" s="1"/>
  <c r="D185" i="1"/>
  <c r="D5" i="1"/>
  <c r="E5" i="1" s="1"/>
  <c r="D17" i="1"/>
  <c r="D174" i="1"/>
  <c r="D117" i="1"/>
  <c r="E117" i="1" s="1"/>
  <c r="D152" i="1"/>
  <c r="E152" i="1" s="1"/>
  <c r="D71" i="1"/>
  <c r="E71" i="1" s="1"/>
  <c r="D70" i="1"/>
  <c r="E70" i="1" s="1"/>
  <c r="D68" i="1"/>
  <c r="D69" i="1"/>
  <c r="D140" i="1"/>
  <c r="E140" i="1" s="1"/>
  <c r="D141" i="1"/>
  <c r="E141" i="1" s="1"/>
  <c r="D202" i="1"/>
  <c r="D159" i="1"/>
  <c r="E159" i="1" s="1"/>
  <c r="D195" i="1"/>
  <c r="D67" i="1"/>
  <c r="E67" i="1" s="1"/>
  <c r="D50" i="1"/>
  <c r="D19" i="1"/>
  <c r="E19" i="1" s="1"/>
  <c r="D20" i="1"/>
  <c r="D18" i="1"/>
  <c r="D51" i="1"/>
  <c r="E51" i="1" s="1"/>
  <c r="D52" i="1"/>
  <c r="E52" i="1" s="1"/>
  <c r="D53" i="1"/>
  <c r="E53" i="1" s="1"/>
  <c r="D16" i="1"/>
  <c r="D82" i="1"/>
  <c r="D8" i="1"/>
  <c r="D42" i="1"/>
  <c r="E42" i="1" s="1"/>
  <c r="D62" i="1"/>
  <c r="D179" i="1"/>
  <c r="E179" i="1" s="1"/>
  <c r="D167" i="1"/>
  <c r="E167" i="1" s="1"/>
  <c r="D190" i="1"/>
  <c r="D191" i="1"/>
  <c r="E191" i="1" s="1"/>
  <c r="D168" i="1"/>
  <c r="D180" i="1"/>
  <c r="E180" i="1" s="1"/>
  <c r="D138" i="1"/>
  <c r="D184" i="1"/>
  <c r="D35" i="1"/>
  <c r="E35" i="1" s="1"/>
  <c r="D130" i="1"/>
  <c r="E130" i="1" s="1"/>
  <c r="D39" i="1"/>
  <c r="E39" i="1" s="1"/>
  <c r="D119" i="1"/>
  <c r="D48" i="1"/>
  <c r="D43" i="1"/>
  <c r="E43" i="1" s="1"/>
  <c r="D173" i="1"/>
  <c r="E173" i="1" s="1"/>
  <c r="D76" i="1"/>
  <c r="E76" i="1" s="1"/>
  <c r="D127" i="1"/>
  <c r="D110" i="1"/>
  <c r="D125" i="1"/>
  <c r="D135" i="1"/>
  <c r="E135" i="1" s="1"/>
  <c r="D129" i="1"/>
  <c r="D41" i="1"/>
  <c r="E41" i="1" s="1"/>
  <c r="D60" i="1"/>
  <c r="D163" i="1"/>
  <c r="E163" i="1" s="1"/>
  <c r="D108" i="1"/>
  <c r="E108" i="1" s="1"/>
  <c r="D107" i="1"/>
  <c r="E107" i="1" s="1"/>
  <c r="D104" i="1"/>
  <c r="E104" i="1" s="1"/>
  <c r="D194" i="1"/>
  <c r="D187" i="1"/>
  <c r="E187" i="1" s="1"/>
  <c r="D201" i="1"/>
  <c r="D200" i="1"/>
  <c r="E200" i="1" s="1"/>
  <c r="D198" i="1"/>
  <c r="E198" i="1" s="1"/>
  <c r="D197" i="1"/>
  <c r="D196" i="1"/>
  <c r="E196" i="1" s="1"/>
  <c r="D199" i="1"/>
  <c r="D64" i="1"/>
  <c r="E64" i="1" s="1"/>
  <c r="D144" i="1"/>
  <c r="D161" i="1"/>
  <c r="E161" i="1" s="1"/>
  <c r="D78" i="1"/>
  <c r="D150" i="1"/>
  <c r="D103" i="1"/>
  <c r="E103" i="1" s="1"/>
  <c r="D153" i="1"/>
  <c r="E153" i="1" s="1"/>
  <c r="D75" i="1"/>
  <c r="E75" i="1" s="1"/>
  <c r="D77" i="1"/>
  <c r="D162" i="1"/>
  <c r="E162" i="1" s="1"/>
  <c r="D148" i="1"/>
  <c r="E148" i="1" s="1"/>
  <c r="D93" i="1"/>
  <c r="E93" i="1" s="1"/>
  <c r="D178" i="1"/>
  <c r="E178" i="1" s="1"/>
  <c r="D79" i="1"/>
  <c r="E79" i="1" s="1"/>
  <c r="D36" i="1"/>
  <c r="D96" i="1"/>
  <c r="D97" i="1"/>
  <c r="E97" i="1" s="1"/>
  <c r="D101" i="1"/>
  <c r="D32" i="1"/>
  <c r="E32" i="1" s="1"/>
  <c r="D95" i="1"/>
  <c r="D160" i="1"/>
  <c r="D73" i="1"/>
  <c r="E73" i="1" s="1"/>
  <c r="D142" i="1"/>
  <c r="E142" i="1" s="1"/>
  <c r="D170" i="1"/>
  <c r="E170" i="1" s="1"/>
  <c r="D98" i="1"/>
  <c r="E98" i="1" s="1"/>
  <c r="D181" i="1"/>
  <c r="E181" i="1" s="1"/>
  <c r="D99" i="1"/>
  <c r="D2" i="1"/>
  <c r="E2" i="1" s="1"/>
  <c r="B2" i="3"/>
  <c r="B3" i="3" s="1"/>
  <c r="C3" i="3" s="1"/>
  <c r="B1" i="7"/>
  <c r="E3" i="1"/>
  <c r="E7" i="1"/>
  <c r="E74" i="1"/>
  <c r="E90" i="1"/>
  <c r="E91" i="1"/>
  <c r="E92" i="1"/>
  <c r="E155" i="1"/>
  <c r="E134" i="1"/>
  <c r="E49" i="1"/>
  <c r="E28" i="1"/>
  <c r="E44" i="1"/>
  <c r="E169" i="1"/>
  <c r="E111" i="1"/>
  <c r="E29" i="1"/>
  <c r="E143" i="1"/>
  <c r="E94" i="1"/>
  <c r="E25" i="1"/>
  <c r="E14" i="1"/>
  <c r="E55" i="1"/>
  <c r="E72" i="1"/>
  <c r="E149" i="1"/>
  <c r="E23" i="1"/>
  <c r="E193" i="1"/>
  <c r="E113" i="1"/>
  <c r="E30" i="1"/>
  <c r="E158" i="1"/>
  <c r="E66" i="1"/>
  <c r="E185" i="1"/>
  <c r="E17" i="1"/>
  <c r="E174" i="1"/>
  <c r="E195" i="1"/>
  <c r="E50" i="1"/>
  <c r="E20" i="1"/>
  <c r="E18" i="1"/>
  <c r="E16" i="1"/>
  <c r="E190" i="1"/>
  <c r="E168" i="1"/>
  <c r="E138" i="1"/>
  <c r="E184" i="1"/>
  <c r="E125" i="1"/>
  <c r="E129" i="1"/>
  <c r="E60" i="1"/>
  <c r="E199" i="1"/>
  <c r="E144" i="1"/>
  <c r="E78" i="1"/>
  <c r="E150" i="1"/>
  <c r="E77" i="1"/>
  <c r="E96" i="1"/>
  <c r="E101" i="1"/>
  <c r="E95" i="1"/>
  <c r="E160" i="1"/>
  <c r="AF194" i="6"/>
  <c r="AF166" i="6"/>
  <c r="AM166" i="6" s="1"/>
  <c r="AF44" i="6"/>
  <c r="AF111" i="6"/>
  <c r="AZ111" i="6" s="1"/>
  <c r="AF191" i="6"/>
  <c r="AF82" i="6"/>
  <c r="AL82" i="6" s="1"/>
  <c r="AF137" i="6"/>
  <c r="AF124" i="6"/>
  <c r="BG124" i="6" s="1"/>
  <c r="AF32" i="6"/>
  <c r="AN32" i="6" s="1"/>
  <c r="AF4" i="6"/>
  <c r="AF99" i="6"/>
  <c r="AF84" i="6"/>
  <c r="AF50" i="6"/>
  <c r="AF155" i="6"/>
  <c r="BC155" i="6" s="1"/>
  <c r="AF134" i="6"/>
  <c r="AF116" i="6"/>
  <c r="AF92" i="6"/>
  <c r="AF142" i="6"/>
  <c r="AF83" i="6"/>
  <c r="AI83" i="6" s="1"/>
  <c r="AF41" i="6"/>
  <c r="AF119" i="6"/>
  <c r="AF7" i="6"/>
  <c r="AF197" i="6"/>
  <c r="AF205" i="6"/>
  <c r="AO205" i="6" s="1"/>
  <c r="AF66" i="6"/>
  <c r="AK66" i="6" s="1"/>
  <c r="AF114" i="6"/>
  <c r="AW114" i="6" s="1"/>
  <c r="AF108" i="6"/>
  <c r="AF28" i="6"/>
  <c r="AS28" i="6" s="1"/>
  <c r="AF53" i="6"/>
  <c r="AH53" i="6" s="1"/>
  <c r="AF57" i="6"/>
  <c r="AG57" i="6" s="1"/>
  <c r="AF60" i="6"/>
  <c r="AF65" i="6"/>
  <c r="AF107" i="6"/>
  <c r="AF104" i="6"/>
  <c r="AF34" i="6"/>
  <c r="AF95" i="6"/>
  <c r="BB95" i="6" s="1"/>
  <c r="AF182" i="6"/>
  <c r="AQ182" i="6" s="1"/>
  <c r="AF188" i="6"/>
  <c r="BA188" i="6" s="1"/>
  <c r="AF12" i="6"/>
  <c r="BD12" i="6" s="1"/>
  <c r="AF196" i="6"/>
  <c r="AN196" i="6" s="1"/>
  <c r="AF52" i="6"/>
  <c r="AQ52" i="6" s="1"/>
  <c r="AF178" i="6"/>
  <c r="AF140" i="6"/>
  <c r="AG140" i="6" s="1"/>
  <c r="AF132" i="6"/>
  <c r="AL132" i="6" s="1"/>
  <c r="AF56" i="6"/>
  <c r="AF153" i="6"/>
  <c r="AF94" i="6"/>
  <c r="AT94" i="6" s="1"/>
  <c r="AF150" i="6"/>
  <c r="AZ150" i="6" s="1"/>
  <c r="AF63" i="6"/>
  <c r="AU63" i="6" s="1"/>
  <c r="AF14" i="6"/>
  <c r="AF26" i="6"/>
  <c r="AN26" i="6" s="1"/>
  <c r="AF152" i="6"/>
  <c r="AF145" i="6"/>
  <c r="AG145" i="6" s="1"/>
  <c r="AF128" i="6"/>
  <c r="AH128" i="6" s="1"/>
  <c r="AF25" i="6"/>
  <c r="AU25" i="6" s="1"/>
  <c r="AF185" i="6"/>
  <c r="AO185" i="6" s="1"/>
  <c r="AF129" i="6"/>
  <c r="AW129" i="6" s="1"/>
  <c r="AF139" i="6"/>
  <c r="AF136" i="6"/>
  <c r="AF198" i="6"/>
  <c r="AF16" i="6"/>
  <c r="AF126" i="6"/>
  <c r="AF62" i="6"/>
  <c r="AU62" i="6" s="1"/>
  <c r="AF161" i="6"/>
  <c r="AF101" i="6"/>
  <c r="AG101" i="6" s="1"/>
  <c r="AF79" i="6"/>
  <c r="AL79" i="6" s="1"/>
  <c r="AF120" i="6"/>
  <c r="AG120" i="6" s="1"/>
  <c r="AF6" i="6"/>
  <c r="BA6" i="6" s="1"/>
  <c r="AF175" i="6"/>
  <c r="AM175" i="6" s="1"/>
  <c r="AF169" i="6"/>
  <c r="AF170" i="6"/>
  <c r="AM170" i="6" s="1"/>
  <c r="AF61" i="6"/>
  <c r="AU61" i="6" s="1"/>
  <c r="AF46" i="6"/>
  <c r="BF46" i="6" s="1"/>
  <c r="AF100" i="6"/>
  <c r="BB100" i="6" s="1"/>
  <c r="AF31" i="6"/>
  <c r="AF17" i="6"/>
  <c r="AK17" i="6" s="1"/>
  <c r="AF206" i="6"/>
  <c r="AF68" i="6"/>
  <c r="AW68" i="6" s="1"/>
  <c r="AF39" i="6"/>
  <c r="BA39" i="6" s="1"/>
  <c r="AF121" i="6"/>
  <c r="AF151" i="6"/>
  <c r="AF131" i="6"/>
  <c r="AH131" i="6" s="1"/>
  <c r="AF10" i="6"/>
  <c r="AZ10" i="6" s="1"/>
  <c r="AF51" i="6"/>
  <c r="AJ51" i="6" s="1"/>
  <c r="AF122" i="6"/>
  <c r="AS122" i="6" s="1"/>
  <c r="AF88" i="6"/>
  <c r="AV88" i="6" s="1"/>
  <c r="AF164" i="6"/>
  <c r="AF30" i="6"/>
  <c r="AF87" i="6"/>
  <c r="AZ87" i="6" s="1"/>
  <c r="AF23" i="6"/>
  <c r="AO23" i="6" s="1"/>
  <c r="AF73" i="6"/>
  <c r="AW73" i="6" s="1"/>
  <c r="AF81" i="6"/>
  <c r="AN81" i="6" s="1"/>
  <c r="AF127" i="6"/>
  <c r="BB127" i="6" s="1"/>
  <c r="AF187" i="6"/>
  <c r="AR187" i="6" s="1"/>
  <c r="AF3" i="6"/>
  <c r="AF179" i="6"/>
  <c r="AF74" i="6"/>
  <c r="AZ74" i="6" s="1"/>
  <c r="AF33" i="6"/>
  <c r="AO33" i="6" s="1"/>
  <c r="AF69" i="6"/>
  <c r="AW69" i="6" s="1"/>
  <c r="AF71" i="6"/>
  <c r="AZ71" i="6" s="1"/>
  <c r="AF184" i="6"/>
  <c r="AG184" i="6" s="1"/>
  <c r="AF190" i="6"/>
  <c r="AU190" i="6" s="1"/>
  <c r="AF117" i="6"/>
  <c r="AG117" i="6" s="1"/>
  <c r="AF98" i="6"/>
  <c r="AG98" i="6" s="1"/>
  <c r="AF130" i="6"/>
  <c r="AH130" i="6" s="1"/>
  <c r="AF115" i="6"/>
  <c r="AJ115" i="6" s="1"/>
  <c r="AF13" i="6"/>
  <c r="AY13" i="6" s="1"/>
  <c r="AF21" i="6"/>
  <c r="AJ21" i="6" s="1"/>
  <c r="AF70" i="6"/>
  <c r="AF125" i="6"/>
  <c r="AL125" i="6" s="1"/>
  <c r="AF181" i="6"/>
  <c r="AO181" i="6" s="1"/>
  <c r="AF118" i="6"/>
  <c r="AF113" i="6"/>
  <c r="AF154" i="6"/>
  <c r="AX154" i="6" s="1"/>
  <c r="AF146" i="6"/>
  <c r="AN146" i="6" s="1"/>
  <c r="AF27" i="6"/>
  <c r="AZ27" i="6" s="1"/>
  <c r="AF183" i="6"/>
  <c r="BI183" i="6" s="1"/>
  <c r="AF165" i="6"/>
  <c r="AG165" i="6" s="1"/>
  <c r="AF105" i="6"/>
  <c r="AM105" i="6" s="1"/>
  <c r="AF112" i="6"/>
  <c r="AW112" i="6" s="1"/>
  <c r="AF133" i="6"/>
  <c r="AS133" i="6" s="1"/>
  <c r="AF43" i="6"/>
  <c r="AG43" i="6" s="1"/>
  <c r="AF78" i="6"/>
  <c r="BJ78" i="6" s="1"/>
  <c r="AF37" i="6"/>
  <c r="AF86" i="6"/>
  <c r="AF193" i="6"/>
  <c r="BA193" i="6" s="1"/>
  <c r="AF19" i="6"/>
  <c r="BB19" i="6" s="1"/>
  <c r="AF202" i="6"/>
  <c r="AG202" i="6" s="1"/>
  <c r="AF201" i="6"/>
  <c r="AF103" i="6"/>
  <c r="AI103" i="6" s="1"/>
  <c r="AF97" i="6"/>
  <c r="AK97" i="6" s="1"/>
  <c r="AF110" i="6"/>
  <c r="AP110" i="6" s="1"/>
  <c r="AF171" i="6"/>
  <c r="AM171" i="6" s="1"/>
  <c r="AF45" i="6"/>
  <c r="AV45" i="6" s="1"/>
  <c r="AF2" i="6"/>
  <c r="BI2" i="6" s="1"/>
  <c r="AF48" i="6"/>
  <c r="BG48" i="6" s="1"/>
  <c r="AF148" i="6"/>
  <c r="AN148" i="6" s="1"/>
  <c r="AF204" i="6"/>
  <c r="AM204" i="6" s="1"/>
  <c r="AF156" i="6"/>
  <c r="AU156" i="6" s="1"/>
  <c r="AF149" i="6"/>
  <c r="BH149" i="6" s="1"/>
  <c r="AF147" i="6"/>
  <c r="AL147" i="6" s="1"/>
  <c r="AF177" i="6"/>
  <c r="AS177" i="6" s="1"/>
  <c r="AF141" i="6"/>
  <c r="AF195" i="6"/>
  <c r="AF40" i="6"/>
  <c r="AZ40" i="6" s="1"/>
  <c r="AF38" i="6"/>
  <c r="BB38" i="6" s="1"/>
  <c r="AF168" i="6"/>
  <c r="BA168" i="6" s="1"/>
  <c r="AF75" i="6"/>
  <c r="AP75" i="6" s="1"/>
  <c r="AF160" i="6"/>
  <c r="AV160" i="6" s="1"/>
  <c r="AF135" i="6"/>
  <c r="AP135" i="6" s="1"/>
  <c r="AF109" i="6"/>
  <c r="AS109" i="6" s="1"/>
  <c r="AF72" i="6"/>
  <c r="BB72" i="6" s="1"/>
  <c r="AF8" i="6"/>
  <c r="AI8" i="6" s="1"/>
  <c r="AF163" i="6"/>
  <c r="AV163" i="6" s="1"/>
  <c r="AF77" i="6"/>
  <c r="AY77" i="6" s="1"/>
  <c r="AF174" i="6"/>
  <c r="BJ174" i="6" s="1"/>
  <c r="AF20" i="6"/>
  <c r="AP20" i="6" s="1"/>
  <c r="AF80" i="6"/>
  <c r="AF167" i="6"/>
  <c r="AJ167" i="6" s="1"/>
  <c r="AF55" i="6"/>
  <c r="AF106" i="6"/>
  <c r="AK106" i="6" s="1"/>
  <c r="AF203" i="6"/>
  <c r="AK203" i="6" s="1"/>
  <c r="AF158" i="6"/>
  <c r="BA158" i="6" s="1"/>
  <c r="AF159" i="6"/>
  <c r="BF159" i="6" s="1"/>
  <c r="AF67" i="6"/>
  <c r="AL67" i="6" s="1"/>
  <c r="AF143" i="6"/>
  <c r="AK143" i="6" s="1"/>
  <c r="AF64" i="6"/>
  <c r="AZ64" i="6" s="1"/>
  <c r="AF59" i="6"/>
  <c r="AO59" i="6" s="1"/>
  <c r="AF186" i="6"/>
  <c r="AO186" i="6" s="1"/>
  <c r="AF192" i="6"/>
  <c r="BH192" i="6" s="1"/>
  <c r="AF54" i="6"/>
  <c r="BD54" i="6" s="1"/>
  <c r="AF199" i="6"/>
  <c r="BH199" i="6" s="1"/>
  <c r="AF76" i="6"/>
  <c r="AF162" i="6"/>
  <c r="AM162" i="6" s="1"/>
  <c r="AF29" i="6"/>
  <c r="AG29" i="6" s="1"/>
  <c r="AF144" i="6"/>
  <c r="BB144" i="6" s="1"/>
  <c r="AF35" i="6"/>
  <c r="AF22" i="6"/>
  <c r="AU22" i="6" s="1"/>
  <c r="AF36" i="6"/>
  <c r="BA36" i="6" s="1"/>
  <c r="AF11" i="6"/>
  <c r="BJ11" i="6" s="1"/>
  <c r="AF49" i="6"/>
  <c r="AM49" i="6" s="1"/>
  <c r="AF5" i="6"/>
  <c r="AF47" i="6"/>
  <c r="AU47" i="6" s="1"/>
  <c r="AF96" i="6"/>
  <c r="AI96" i="6" s="1"/>
  <c r="AF157" i="6"/>
  <c r="BB157" i="6" s="1"/>
  <c r="AF85" i="6"/>
  <c r="AL85" i="6" s="1"/>
  <c r="AF173" i="6"/>
  <c r="AF138" i="6"/>
  <c r="AF18" i="6"/>
  <c r="AL18" i="6" s="1"/>
  <c r="AF200" i="6"/>
  <c r="AF176" i="6"/>
  <c r="AG176" i="6" s="1"/>
  <c r="AF15" i="6"/>
  <c r="AF172" i="6"/>
  <c r="AM172" i="6" s="1"/>
  <c r="AF180" i="6"/>
  <c r="BD180" i="6" s="1"/>
  <c r="AF91" i="6"/>
  <c r="AG91" i="6" s="1"/>
  <c r="AF89" i="6"/>
  <c r="AG89" i="6" s="1"/>
  <c r="AF24" i="6"/>
  <c r="AK24" i="6" s="1"/>
  <c r="AF189" i="6"/>
  <c r="AP189" i="6" s="1"/>
  <c r="AF42" i="6"/>
  <c r="AG42" i="6" s="1"/>
  <c r="AF9" i="6"/>
  <c r="AG9" i="6" s="1"/>
  <c r="AF90" i="6"/>
  <c r="AV90" i="6" s="1"/>
  <c r="AF123" i="6"/>
  <c r="AT123" i="6" s="1"/>
  <c r="AF58" i="6"/>
  <c r="AF102" i="6"/>
  <c r="AQ102" i="6" s="1"/>
  <c r="AF93" i="6"/>
  <c r="G2" i="5" a="1"/>
  <c r="G2" i="5" s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2" i="5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B12" i="5"/>
  <c r="C12" i="5"/>
  <c r="D12" i="5"/>
  <c r="B13" i="5"/>
  <c r="C13" i="5"/>
  <c r="D13" i="5"/>
  <c r="B14" i="5"/>
  <c r="C14" i="5"/>
  <c r="D14" i="5"/>
  <c r="B15" i="5"/>
  <c r="E15" i="5" s="1"/>
  <c r="C15" i="5"/>
  <c r="D15" i="5"/>
  <c r="B16" i="5"/>
  <c r="E16" i="5" s="1"/>
  <c r="C16" i="5"/>
  <c r="D16" i="5"/>
  <c r="B17" i="5"/>
  <c r="E17" i="5" s="1"/>
  <c r="C17" i="5"/>
  <c r="D17" i="5"/>
  <c r="B18" i="5"/>
  <c r="E18" i="5" s="1"/>
  <c r="C18" i="5"/>
  <c r="D18" i="5"/>
  <c r="B19" i="5"/>
  <c r="E19" i="5" s="1"/>
  <c r="C19" i="5"/>
  <c r="D19" i="5"/>
  <c r="B20" i="5"/>
  <c r="E20" i="5" s="1"/>
  <c r="C20" i="5"/>
  <c r="D20" i="5"/>
  <c r="B21" i="5"/>
  <c r="E21" i="5" s="1"/>
  <c r="C21" i="5"/>
  <c r="D21" i="5"/>
  <c r="B22" i="5"/>
  <c r="E22" i="5" s="1"/>
  <c r="C22" i="5"/>
  <c r="D22" i="5"/>
  <c r="B23" i="5"/>
  <c r="E23" i="5" s="1"/>
  <c r="C23" i="5"/>
  <c r="D23" i="5"/>
  <c r="B24" i="5"/>
  <c r="E24" i="5" s="1"/>
  <c r="C24" i="5"/>
  <c r="D24" i="5"/>
  <c r="B25" i="5"/>
  <c r="E25" i="5" s="1"/>
  <c r="C25" i="5"/>
  <c r="D25" i="5"/>
  <c r="B26" i="5"/>
  <c r="E26" i="5" s="1"/>
  <c r="C26" i="5"/>
  <c r="D26" i="5"/>
  <c r="B27" i="5"/>
  <c r="E27" i="5" s="1"/>
  <c r="C27" i="5"/>
  <c r="D27" i="5"/>
  <c r="B28" i="5"/>
  <c r="E28" i="5" s="1"/>
  <c r="C28" i="5"/>
  <c r="D28" i="5"/>
  <c r="B29" i="5"/>
  <c r="E29" i="5" s="1"/>
  <c r="C29" i="5"/>
  <c r="D29" i="5"/>
  <c r="B30" i="5"/>
  <c r="E30" i="5" s="1"/>
  <c r="C30" i="5"/>
  <c r="D30" i="5"/>
  <c r="B31" i="5"/>
  <c r="E31" i="5" s="1"/>
  <c r="C31" i="5"/>
  <c r="D31" i="5"/>
  <c r="B32" i="5"/>
  <c r="E32" i="5" s="1"/>
  <c r="C32" i="5"/>
  <c r="D32" i="5"/>
  <c r="B33" i="5"/>
  <c r="E33" i="5" s="1"/>
  <c r="C33" i="5"/>
  <c r="D33" i="5"/>
  <c r="B34" i="5"/>
  <c r="E34" i="5" s="1"/>
  <c r="C34" i="5"/>
  <c r="D34" i="5"/>
  <c r="B35" i="5"/>
  <c r="E35" i="5" s="1"/>
  <c r="C35" i="5"/>
  <c r="D35" i="5"/>
  <c r="B36" i="5"/>
  <c r="E36" i="5" s="1"/>
  <c r="C36" i="5"/>
  <c r="D36" i="5"/>
  <c r="B37" i="5"/>
  <c r="E37" i="5" s="1"/>
  <c r="C37" i="5"/>
  <c r="D37" i="5"/>
  <c r="B38" i="5"/>
  <c r="E38" i="5" s="1"/>
  <c r="C38" i="5"/>
  <c r="D38" i="5"/>
  <c r="B39" i="5"/>
  <c r="E39" i="5" s="1"/>
  <c r="C39" i="5"/>
  <c r="D39" i="5"/>
  <c r="B40" i="5"/>
  <c r="E40" i="5" s="1"/>
  <c r="C40" i="5"/>
  <c r="D40" i="5"/>
  <c r="B41" i="5"/>
  <c r="E41" i="5" s="1"/>
  <c r="C41" i="5"/>
  <c r="D41" i="5"/>
  <c r="B42" i="5"/>
  <c r="E42" i="5" s="1"/>
  <c r="C42" i="5"/>
  <c r="D42" i="5"/>
  <c r="B43" i="5"/>
  <c r="E43" i="5" s="1"/>
  <c r="C43" i="5"/>
  <c r="D43" i="5"/>
  <c r="B44" i="5"/>
  <c r="E44" i="5" s="1"/>
  <c r="C44" i="5"/>
  <c r="D44" i="5"/>
  <c r="B45" i="5"/>
  <c r="E45" i="5" s="1"/>
  <c r="C45" i="5"/>
  <c r="D45" i="5"/>
  <c r="B46" i="5"/>
  <c r="E46" i="5" s="1"/>
  <c r="C46" i="5"/>
  <c r="D46" i="5"/>
  <c r="B47" i="5"/>
  <c r="E47" i="5" s="1"/>
  <c r="C47" i="5"/>
  <c r="D47" i="5"/>
  <c r="B48" i="5"/>
  <c r="E48" i="5" s="1"/>
  <c r="C48" i="5"/>
  <c r="D48" i="5"/>
  <c r="B49" i="5"/>
  <c r="E49" i="5" s="1"/>
  <c r="C49" i="5"/>
  <c r="D49" i="5"/>
  <c r="B50" i="5"/>
  <c r="E50" i="5" s="1"/>
  <c r="C50" i="5"/>
  <c r="D50" i="5"/>
  <c r="B51" i="5"/>
  <c r="E51" i="5" s="1"/>
  <c r="C51" i="5"/>
  <c r="D51" i="5"/>
  <c r="B52" i="5"/>
  <c r="E52" i="5" s="1"/>
  <c r="C52" i="5"/>
  <c r="D52" i="5"/>
  <c r="B53" i="5"/>
  <c r="E53" i="5" s="1"/>
  <c r="C53" i="5"/>
  <c r="D53" i="5"/>
  <c r="B54" i="5"/>
  <c r="E54" i="5" s="1"/>
  <c r="C54" i="5"/>
  <c r="D54" i="5"/>
  <c r="B55" i="5"/>
  <c r="E55" i="5" s="1"/>
  <c r="C55" i="5"/>
  <c r="D55" i="5"/>
  <c r="B56" i="5"/>
  <c r="E56" i="5" s="1"/>
  <c r="C56" i="5"/>
  <c r="D56" i="5"/>
  <c r="B57" i="5"/>
  <c r="E57" i="5" s="1"/>
  <c r="C57" i="5"/>
  <c r="D57" i="5"/>
  <c r="B58" i="5"/>
  <c r="E58" i="5" s="1"/>
  <c r="C58" i="5"/>
  <c r="D58" i="5"/>
  <c r="B59" i="5"/>
  <c r="E59" i="5" s="1"/>
  <c r="C59" i="5"/>
  <c r="D59" i="5"/>
  <c r="B60" i="5"/>
  <c r="E60" i="5" s="1"/>
  <c r="C60" i="5"/>
  <c r="D60" i="5"/>
  <c r="B61" i="5"/>
  <c r="E61" i="5" s="1"/>
  <c r="C61" i="5"/>
  <c r="D61" i="5"/>
  <c r="B62" i="5"/>
  <c r="E62" i="5" s="1"/>
  <c r="C62" i="5"/>
  <c r="D62" i="5"/>
  <c r="B63" i="5"/>
  <c r="E63" i="5" s="1"/>
  <c r="C63" i="5"/>
  <c r="D63" i="5"/>
  <c r="B64" i="5"/>
  <c r="E64" i="5" s="1"/>
  <c r="C64" i="5"/>
  <c r="D64" i="5"/>
  <c r="B65" i="5"/>
  <c r="E65" i="5" s="1"/>
  <c r="C65" i="5"/>
  <c r="D65" i="5"/>
  <c r="B66" i="5"/>
  <c r="E66" i="5" s="1"/>
  <c r="C66" i="5"/>
  <c r="D66" i="5"/>
  <c r="B67" i="5"/>
  <c r="E67" i="5" s="1"/>
  <c r="C67" i="5"/>
  <c r="D67" i="5"/>
  <c r="B68" i="5"/>
  <c r="E68" i="5" s="1"/>
  <c r="C68" i="5"/>
  <c r="D68" i="5"/>
  <c r="B69" i="5"/>
  <c r="E69" i="5" s="1"/>
  <c r="C69" i="5"/>
  <c r="D69" i="5"/>
  <c r="B70" i="5"/>
  <c r="E70" i="5" s="1"/>
  <c r="C70" i="5"/>
  <c r="D70" i="5"/>
  <c r="B71" i="5"/>
  <c r="E71" i="5" s="1"/>
  <c r="C71" i="5"/>
  <c r="D71" i="5"/>
  <c r="B72" i="5"/>
  <c r="E72" i="5" s="1"/>
  <c r="C72" i="5"/>
  <c r="D72" i="5"/>
  <c r="B73" i="5"/>
  <c r="E73" i="5" s="1"/>
  <c r="C73" i="5"/>
  <c r="D73" i="5"/>
  <c r="B74" i="5"/>
  <c r="E74" i="5" s="1"/>
  <c r="C74" i="5"/>
  <c r="D74" i="5"/>
  <c r="B75" i="5"/>
  <c r="E75" i="5" s="1"/>
  <c r="C75" i="5"/>
  <c r="D75" i="5"/>
  <c r="B76" i="5"/>
  <c r="E76" i="5" s="1"/>
  <c r="C76" i="5"/>
  <c r="D76" i="5"/>
  <c r="B77" i="5"/>
  <c r="E77" i="5" s="1"/>
  <c r="C77" i="5"/>
  <c r="D77" i="5"/>
  <c r="B78" i="5"/>
  <c r="E78" i="5" s="1"/>
  <c r="C78" i="5"/>
  <c r="D78" i="5"/>
  <c r="B79" i="5"/>
  <c r="E79" i="5" s="1"/>
  <c r="C79" i="5"/>
  <c r="D79" i="5"/>
  <c r="B80" i="5"/>
  <c r="E80" i="5" s="1"/>
  <c r="C80" i="5"/>
  <c r="D80" i="5"/>
  <c r="B81" i="5"/>
  <c r="E81" i="5" s="1"/>
  <c r="C81" i="5"/>
  <c r="D81" i="5"/>
  <c r="B82" i="5"/>
  <c r="E82" i="5" s="1"/>
  <c r="C82" i="5"/>
  <c r="D82" i="5"/>
  <c r="B83" i="5"/>
  <c r="E83" i="5" s="1"/>
  <c r="C83" i="5"/>
  <c r="D83" i="5"/>
  <c r="B84" i="5"/>
  <c r="E84" i="5" s="1"/>
  <c r="C84" i="5"/>
  <c r="D84" i="5"/>
  <c r="B85" i="5"/>
  <c r="E85" i="5" s="1"/>
  <c r="C85" i="5"/>
  <c r="D85" i="5"/>
  <c r="B86" i="5"/>
  <c r="E86" i="5" s="1"/>
  <c r="C86" i="5"/>
  <c r="D86" i="5"/>
  <c r="B87" i="5"/>
  <c r="E87" i="5" s="1"/>
  <c r="C87" i="5"/>
  <c r="D87" i="5"/>
  <c r="B88" i="5"/>
  <c r="E88" i="5" s="1"/>
  <c r="C88" i="5"/>
  <c r="D88" i="5"/>
  <c r="B89" i="5"/>
  <c r="E89" i="5" s="1"/>
  <c r="C89" i="5"/>
  <c r="D89" i="5"/>
  <c r="B90" i="5"/>
  <c r="E90" i="5" s="1"/>
  <c r="C90" i="5"/>
  <c r="D90" i="5"/>
  <c r="B91" i="5"/>
  <c r="E91" i="5" s="1"/>
  <c r="C91" i="5"/>
  <c r="D91" i="5"/>
  <c r="B92" i="5"/>
  <c r="E92" i="5" s="1"/>
  <c r="C92" i="5"/>
  <c r="D92" i="5"/>
  <c r="B93" i="5"/>
  <c r="E93" i="5" s="1"/>
  <c r="C93" i="5"/>
  <c r="D93" i="5"/>
  <c r="B94" i="5"/>
  <c r="E94" i="5" s="1"/>
  <c r="C94" i="5"/>
  <c r="D94" i="5"/>
  <c r="B95" i="5"/>
  <c r="E95" i="5" s="1"/>
  <c r="C95" i="5"/>
  <c r="D95" i="5"/>
  <c r="B96" i="5"/>
  <c r="E96" i="5" s="1"/>
  <c r="C96" i="5"/>
  <c r="D96" i="5"/>
  <c r="B97" i="5"/>
  <c r="E97" i="5" s="1"/>
  <c r="C97" i="5"/>
  <c r="D97" i="5"/>
  <c r="B98" i="5"/>
  <c r="E98" i="5" s="1"/>
  <c r="C98" i="5"/>
  <c r="D98" i="5"/>
  <c r="B99" i="5"/>
  <c r="E99" i="5" s="1"/>
  <c r="C99" i="5"/>
  <c r="D99" i="5"/>
  <c r="B100" i="5"/>
  <c r="E100" i="5" s="1"/>
  <c r="C100" i="5"/>
  <c r="D100" i="5"/>
  <c r="B101" i="5"/>
  <c r="E101" i="5" s="1"/>
  <c r="C101" i="5"/>
  <c r="D101" i="5"/>
  <c r="D2" i="5"/>
  <c r="C2" i="5"/>
  <c r="B2" i="5"/>
  <c r="B1" i="3"/>
  <c r="E15" i="1" l="1"/>
  <c r="E194" i="1"/>
  <c r="E133" i="1"/>
  <c r="E119" i="1"/>
  <c r="E84" i="1"/>
  <c r="E48" i="1"/>
  <c r="E82" i="1"/>
  <c r="E68" i="1"/>
  <c r="E188" i="1"/>
  <c r="E83" i="1"/>
  <c r="E157" i="1"/>
  <c r="E36" i="1"/>
  <c r="E110" i="1"/>
  <c r="E65" i="1"/>
  <c r="E128" i="1"/>
  <c r="E166" i="1"/>
  <c r="E136" i="1"/>
  <c r="E88" i="1"/>
  <c r="E127" i="1"/>
  <c r="E176" i="1"/>
  <c r="E156" i="1"/>
  <c r="E34" i="1"/>
  <c r="E69" i="1"/>
  <c r="E165" i="1"/>
  <c r="E13" i="1"/>
  <c r="E46" i="1"/>
  <c r="E114" i="1"/>
  <c r="E197" i="1"/>
  <c r="E202" i="1"/>
  <c r="E27" i="1"/>
  <c r="E137" i="1"/>
  <c r="E80" i="1"/>
  <c r="E62" i="1"/>
  <c r="E177" i="1"/>
  <c r="E171" i="1"/>
  <c r="E189" i="1"/>
  <c r="E99" i="1"/>
  <c r="E201" i="1"/>
  <c r="E8" i="1"/>
  <c r="E183" i="1"/>
  <c r="E9" i="1"/>
  <c r="E182" i="1"/>
  <c r="E26" i="1"/>
  <c r="C2" i="3"/>
  <c r="D2" i="3" s="1"/>
  <c r="D3" i="3"/>
  <c r="B4" i="3"/>
  <c r="E14" i="5"/>
  <c r="E13" i="5"/>
  <c r="E12" i="5"/>
  <c r="E11" i="5"/>
  <c r="E10" i="5"/>
  <c r="E9" i="5"/>
  <c r="AO203" i="6"/>
  <c r="BF180" i="6"/>
  <c r="AZ160" i="6"/>
  <c r="AZ36" i="6"/>
  <c r="AY36" i="6"/>
  <c r="BA22" i="6"/>
  <c r="AW45" i="6"/>
  <c r="AX71" i="6"/>
  <c r="AV71" i="6"/>
  <c r="BA162" i="6"/>
  <c r="AY69" i="6"/>
  <c r="AZ162" i="6"/>
  <c r="AX69" i="6"/>
  <c r="AL24" i="6"/>
  <c r="AJ103" i="6"/>
  <c r="AW168" i="6"/>
  <c r="AL120" i="6"/>
  <c r="AI168" i="6"/>
  <c r="AK120" i="6"/>
  <c r="AQ67" i="6"/>
  <c r="AI120" i="6"/>
  <c r="BI180" i="6"/>
  <c r="AZ180" i="6"/>
  <c r="AY180" i="6"/>
  <c r="AU154" i="6"/>
  <c r="AN180" i="6"/>
  <c r="AT154" i="6"/>
  <c r="AX148" i="6"/>
  <c r="AR154" i="6"/>
  <c r="AP79" i="6"/>
  <c r="AM148" i="6"/>
  <c r="AP154" i="6"/>
  <c r="AM129" i="6"/>
  <c r="AO154" i="6"/>
  <c r="AI129" i="6"/>
  <c r="BH186" i="6"/>
  <c r="AY87" i="6"/>
  <c r="AQ24" i="6"/>
  <c r="BF203" i="6"/>
  <c r="AU87" i="6"/>
  <c r="AQ33" i="6"/>
  <c r="BJ186" i="6"/>
  <c r="BI186" i="6"/>
  <c r="AG133" i="6"/>
  <c r="AP175" i="6"/>
  <c r="AO175" i="6"/>
  <c r="AO24" i="6"/>
  <c r="AS203" i="6"/>
  <c r="BC51" i="6"/>
  <c r="AP33" i="6"/>
  <c r="BB128" i="6"/>
  <c r="BE75" i="6"/>
  <c r="AS69" i="6"/>
  <c r="BC75" i="6"/>
  <c r="AR69" i="6"/>
  <c r="BB75" i="6"/>
  <c r="AH48" i="6"/>
  <c r="AY106" i="6"/>
  <c r="AW22" i="6"/>
  <c r="BH146" i="6"/>
  <c r="AQ69" i="6"/>
  <c r="AR171" i="6"/>
  <c r="BB145" i="6"/>
  <c r="BA75" i="6"/>
  <c r="AG48" i="6"/>
  <c r="AV106" i="6"/>
  <c r="AT22" i="6"/>
  <c r="BA122" i="6"/>
  <c r="AI184" i="6"/>
  <c r="BD75" i="6"/>
  <c r="AO79" i="6"/>
  <c r="BC145" i="6"/>
  <c r="AZ189" i="6"/>
  <c r="BB67" i="6"/>
  <c r="AZ148" i="6"/>
  <c r="AL106" i="6"/>
  <c r="BF49" i="6"/>
  <c r="BJ87" i="6"/>
  <c r="AV122" i="6"/>
  <c r="AJ129" i="6"/>
  <c r="AH184" i="6"/>
  <c r="AI143" i="6"/>
  <c r="AN203" i="6"/>
  <c r="AZ106" i="6"/>
  <c r="BJ24" i="6"/>
  <c r="AZ67" i="6"/>
  <c r="AW49" i="6"/>
  <c r="AU122" i="6"/>
  <c r="AQ196" i="6"/>
  <c r="AJ117" i="6"/>
  <c r="AY22" i="6"/>
  <c r="BI24" i="6"/>
  <c r="AW67" i="6"/>
  <c r="BH160" i="6"/>
  <c r="AV49" i="6"/>
  <c r="AJ122" i="6"/>
  <c r="BH131" i="6"/>
  <c r="BF48" i="6"/>
  <c r="BI146" i="6"/>
  <c r="AT158" i="6"/>
  <c r="BG160" i="6"/>
  <c r="AU49" i="6"/>
  <c r="AG122" i="6"/>
  <c r="BJ182" i="6"/>
  <c r="AZ22" i="6"/>
  <c r="AI48" i="6"/>
  <c r="AW38" i="6"/>
  <c r="BG24" i="6"/>
  <c r="AS67" i="6"/>
  <c r="BE91" i="6"/>
  <c r="BF160" i="6"/>
  <c r="AT49" i="6"/>
  <c r="AR38" i="6"/>
  <c r="AU103" i="6"/>
  <c r="AI131" i="6"/>
  <c r="BE182" i="6"/>
  <c r="AH33" i="6"/>
  <c r="BH24" i="6"/>
  <c r="AU67" i="6"/>
  <c r="AO131" i="6"/>
  <c r="AR24" i="6"/>
  <c r="AR67" i="6"/>
  <c r="BA160" i="6"/>
  <c r="AK40" i="6"/>
  <c r="AM88" i="6"/>
  <c r="AS103" i="6"/>
  <c r="BD182" i="6"/>
  <c r="BD186" i="6"/>
  <c r="AI75" i="6"/>
  <c r="AH148" i="6"/>
  <c r="AY51" i="6"/>
  <c r="AW130" i="6"/>
  <c r="AY10" i="6"/>
  <c r="AG75" i="6"/>
  <c r="AG148" i="6"/>
  <c r="BA157" i="6"/>
  <c r="AN24" i="6"/>
  <c r="AV96" i="6"/>
  <c r="AH180" i="6"/>
  <c r="BH11" i="6"/>
  <c r="BI89" i="6"/>
  <c r="AY157" i="6"/>
  <c r="AM90" i="6"/>
  <c r="AS49" i="6"/>
  <c r="AT27" i="6"/>
  <c r="AV51" i="6"/>
  <c r="BC122" i="6"/>
  <c r="AH110" i="6"/>
  <c r="AT10" i="6"/>
  <c r="AV170" i="6"/>
  <c r="BF66" i="6"/>
  <c r="AY75" i="6"/>
  <c r="AL148" i="6"/>
  <c r="BD17" i="6"/>
  <c r="BJ43" i="6"/>
  <c r="AQ90" i="6"/>
  <c r="AM146" i="6"/>
  <c r="BB17" i="6"/>
  <c r="AO196" i="6"/>
  <c r="AI180" i="6"/>
  <c r="BJ89" i="6"/>
  <c r="AP90" i="6"/>
  <c r="AL146" i="6"/>
  <c r="AX51" i="6"/>
  <c r="AR130" i="6"/>
  <c r="AL110" i="6"/>
  <c r="AU10" i="6"/>
  <c r="AW170" i="6"/>
  <c r="AM24" i="6"/>
  <c r="BE67" i="6"/>
  <c r="AG180" i="6"/>
  <c r="BG11" i="6"/>
  <c r="BG89" i="6"/>
  <c r="BI160" i="6"/>
  <c r="AL90" i="6"/>
  <c r="AR49" i="6"/>
  <c r="AS27" i="6"/>
  <c r="AU51" i="6"/>
  <c r="BB122" i="6"/>
  <c r="AO97" i="6"/>
  <c r="AS10" i="6"/>
  <c r="AY101" i="6"/>
  <c r="AQ8" i="6"/>
  <c r="AT11" i="6"/>
  <c r="BF89" i="6"/>
  <c r="AJ90" i="6"/>
  <c r="AR27" i="6"/>
  <c r="AT51" i="6"/>
  <c r="AN97" i="6"/>
  <c r="BB46" i="6"/>
  <c r="AK6" i="6"/>
  <c r="AO20" i="6"/>
  <c r="BJ204" i="6"/>
  <c r="AG11" i="6"/>
  <c r="AI90" i="6"/>
  <c r="AL133" i="6"/>
  <c r="AS51" i="6"/>
  <c r="AM97" i="6"/>
  <c r="AU46" i="6"/>
  <c r="AN20" i="6"/>
  <c r="AH90" i="6"/>
  <c r="AH167" i="6"/>
  <c r="AT21" i="6"/>
  <c r="AP21" i="6"/>
  <c r="AZ168" i="6"/>
  <c r="AY168" i="6"/>
  <c r="BH48" i="6"/>
  <c r="BC177" i="6"/>
  <c r="BH203" i="6"/>
  <c r="BJ154" i="6"/>
  <c r="AK133" i="6"/>
  <c r="BB71" i="6"/>
  <c r="AT46" i="6"/>
  <c r="AX168" i="6"/>
  <c r="AV67" i="6"/>
  <c r="BG203" i="6"/>
  <c r="BB160" i="6"/>
  <c r="BD22" i="6"/>
  <c r="AJ133" i="6"/>
  <c r="AY71" i="6"/>
  <c r="AR62" i="6"/>
  <c r="AN129" i="6"/>
  <c r="AU33" i="6"/>
  <c r="AY32" i="6"/>
  <c r="BB177" i="6"/>
  <c r="AO21" i="6"/>
  <c r="AN162" i="6"/>
  <c r="BA202" i="6"/>
  <c r="AP187" i="6"/>
  <c r="AO187" i="6"/>
  <c r="BI149" i="6"/>
  <c r="AW202" i="6"/>
  <c r="BJ133" i="6"/>
  <c r="AS46" i="6"/>
  <c r="AV32" i="6"/>
  <c r="BA8" i="6"/>
  <c r="AW157" i="6"/>
  <c r="BI133" i="6"/>
  <c r="AS94" i="6"/>
  <c r="AZ8" i="6"/>
  <c r="AV157" i="6"/>
  <c r="AT19" i="6"/>
  <c r="AW193" i="6"/>
  <c r="AR87" i="6"/>
  <c r="AY8" i="6"/>
  <c r="BJ148" i="6"/>
  <c r="AS167" i="6"/>
  <c r="AT157" i="6"/>
  <c r="AH143" i="6"/>
  <c r="BJ18" i="6"/>
  <c r="BF133" i="6"/>
  <c r="AQ87" i="6"/>
  <c r="BH115" i="6"/>
  <c r="BG130" i="6"/>
  <c r="AP46" i="6"/>
  <c r="BG176" i="6"/>
  <c r="AH24" i="6"/>
  <c r="AV8" i="6"/>
  <c r="BG148" i="6"/>
  <c r="AR167" i="6"/>
  <c r="AM186" i="6"/>
  <c r="AQ157" i="6"/>
  <c r="BC199" i="6"/>
  <c r="BI90" i="6"/>
  <c r="BG18" i="6"/>
  <c r="BD133" i="6"/>
  <c r="AN87" i="6"/>
  <c r="AX112" i="6"/>
  <c r="BF130" i="6"/>
  <c r="AK183" i="6"/>
  <c r="AQ171" i="6"/>
  <c r="AO46" i="6"/>
  <c r="AY175" i="6"/>
  <c r="AL32" i="6"/>
  <c r="AG24" i="6"/>
  <c r="AH75" i="6"/>
  <c r="BG180" i="6"/>
  <c r="AU8" i="6"/>
  <c r="BF148" i="6"/>
  <c r="BB11" i="6"/>
  <c r="AQ167" i="6"/>
  <c r="AK186" i="6"/>
  <c r="AP157" i="6"/>
  <c r="BG36" i="6"/>
  <c r="BF90" i="6"/>
  <c r="BE18" i="6"/>
  <c r="BE146" i="6"/>
  <c r="AR133" i="6"/>
  <c r="AL87" i="6"/>
  <c r="BH71" i="6"/>
  <c r="BD130" i="6"/>
  <c r="AK103" i="6"/>
  <c r="AJ183" i="6"/>
  <c r="AO171" i="6"/>
  <c r="AJ46" i="6"/>
  <c r="AX175" i="6"/>
  <c r="AM57" i="6"/>
  <c r="AK32" i="6"/>
  <c r="AZ81" i="6"/>
  <c r="AW81" i="6"/>
  <c r="AU81" i="6"/>
  <c r="AJ163" i="6"/>
  <c r="AP167" i="6"/>
  <c r="AJ186" i="6"/>
  <c r="AV29" i="6"/>
  <c r="AM157" i="6"/>
  <c r="BF36" i="6"/>
  <c r="BE90" i="6"/>
  <c r="BC146" i="6"/>
  <c r="AQ133" i="6"/>
  <c r="AK87" i="6"/>
  <c r="AZ130" i="6"/>
  <c r="AH183" i="6"/>
  <c r="AN171" i="6"/>
  <c r="AT129" i="6"/>
  <c r="AW175" i="6"/>
  <c r="AL57" i="6"/>
  <c r="AJ32" i="6"/>
  <c r="BA144" i="6"/>
  <c r="AQ62" i="6"/>
  <c r="AS162" i="6"/>
  <c r="AY177" i="6"/>
  <c r="AX177" i="6"/>
  <c r="AZ17" i="6"/>
  <c r="AW177" i="6"/>
  <c r="BJ149" i="6"/>
  <c r="AL162" i="6"/>
  <c r="BC186" i="6"/>
  <c r="BB193" i="6"/>
  <c r="AU94" i="6"/>
  <c r="BI147" i="6"/>
  <c r="BB186" i="6"/>
  <c r="BE149" i="6"/>
  <c r="BA186" i="6"/>
  <c r="AH117" i="6"/>
  <c r="AT32" i="6"/>
  <c r="AH102" i="6"/>
  <c r="AO53" i="6"/>
  <c r="BE148" i="6"/>
  <c r="BD189" i="6"/>
  <c r="BC168" i="6"/>
  <c r="BC96" i="6"/>
  <c r="BE180" i="6"/>
  <c r="AS8" i="6"/>
  <c r="BB148" i="6"/>
  <c r="AR11" i="6"/>
  <c r="AK167" i="6"/>
  <c r="AI186" i="6"/>
  <c r="AO29" i="6"/>
  <c r="AO47" i="6"/>
  <c r="BB36" i="6"/>
  <c r="AS90" i="6"/>
  <c r="BJ49" i="6"/>
  <c r="AH40" i="6"/>
  <c r="BB146" i="6"/>
  <c r="AP133" i="6"/>
  <c r="BC38" i="6"/>
  <c r="BA71" i="6"/>
  <c r="AY130" i="6"/>
  <c r="AG183" i="6"/>
  <c r="AS129" i="6"/>
  <c r="AT175" i="6"/>
  <c r="AT205" i="6"/>
  <c r="AS166" i="6"/>
  <c r="AY162" i="6"/>
  <c r="AP162" i="6"/>
  <c r="BA127" i="6"/>
  <c r="AU177" i="6"/>
  <c r="AZ202" i="6"/>
  <c r="BJ8" i="6"/>
  <c r="AX157" i="6"/>
  <c r="AT87" i="6"/>
  <c r="AR102" i="6"/>
  <c r="AS87" i="6"/>
  <c r="AR46" i="6"/>
  <c r="AU32" i="6"/>
  <c r="AN102" i="6"/>
  <c r="BH133" i="6"/>
  <c r="BH130" i="6"/>
  <c r="AQ46" i="6"/>
  <c r="AT53" i="6"/>
  <c r="AN186" i="6"/>
  <c r="BJ189" i="6"/>
  <c r="AT8" i="6"/>
  <c r="BC189" i="6"/>
  <c r="BB96" i="6"/>
  <c r="AR8" i="6"/>
  <c r="BA148" i="6"/>
  <c r="AQ11" i="6"/>
  <c r="AH186" i="6"/>
  <c r="AJ47" i="6"/>
  <c r="AR90" i="6"/>
  <c r="BH49" i="6"/>
  <c r="AG40" i="6"/>
  <c r="AN133" i="6"/>
  <c r="AX130" i="6"/>
  <c r="BI62" i="6"/>
  <c r="AR129" i="6"/>
  <c r="AQ175" i="6"/>
  <c r="BD145" i="6"/>
  <c r="AV91" i="6"/>
  <c r="AJ91" i="6"/>
  <c r="BJ91" i="6"/>
  <c r="AK91" i="6"/>
  <c r="AL91" i="6"/>
  <c r="AO91" i="6"/>
  <c r="AP91" i="6"/>
  <c r="AQ91" i="6"/>
  <c r="AT91" i="6"/>
  <c r="AU91" i="6"/>
  <c r="AJ36" i="6"/>
  <c r="AI36" i="6"/>
  <c r="BH36" i="6"/>
  <c r="AK36" i="6"/>
  <c r="BI36" i="6"/>
  <c r="AL36" i="6"/>
  <c r="BJ36" i="6"/>
  <c r="AM36" i="6"/>
  <c r="AP36" i="6"/>
  <c r="AS36" i="6"/>
  <c r="AQ36" i="6"/>
  <c r="AR36" i="6"/>
  <c r="AK158" i="6"/>
  <c r="BB158" i="6"/>
  <c r="BC158" i="6"/>
  <c r="AN158" i="6"/>
  <c r="BF158" i="6"/>
  <c r="AG158" i="6"/>
  <c r="BG158" i="6"/>
  <c r="AJ158" i="6"/>
  <c r="BH158" i="6"/>
  <c r="AL158" i="6"/>
  <c r="BI158" i="6"/>
  <c r="AM158" i="6"/>
  <c r="BJ158" i="6"/>
  <c r="AL168" i="6"/>
  <c r="AJ168" i="6"/>
  <c r="BD168" i="6"/>
  <c r="AK168" i="6"/>
  <c r="BE168" i="6"/>
  <c r="AM168" i="6"/>
  <c r="BF168" i="6"/>
  <c r="AN168" i="6"/>
  <c r="BG168" i="6"/>
  <c r="AO168" i="6"/>
  <c r="BH168" i="6"/>
  <c r="AP168" i="6"/>
  <c r="BI168" i="6"/>
  <c r="AQ168" i="6"/>
  <c r="BJ168" i="6"/>
  <c r="AR168" i="6"/>
  <c r="AL97" i="6"/>
  <c r="AX97" i="6"/>
  <c r="BC97" i="6"/>
  <c r="BD97" i="6"/>
  <c r="BE97" i="6"/>
  <c r="BF97" i="6"/>
  <c r="BG97" i="6"/>
  <c r="AG97" i="6"/>
  <c r="AJ97" i="6"/>
  <c r="AK146" i="6"/>
  <c r="AO146" i="6"/>
  <c r="AR146" i="6"/>
  <c r="AS146" i="6"/>
  <c r="AT146" i="6"/>
  <c r="AU146" i="6"/>
  <c r="AY146" i="6"/>
  <c r="AZ146" i="6"/>
  <c r="BA146" i="6"/>
  <c r="AI69" i="6"/>
  <c r="AZ69" i="6"/>
  <c r="BA69" i="6"/>
  <c r="BC69" i="6"/>
  <c r="AG69" i="6"/>
  <c r="BF69" i="6"/>
  <c r="AH69" i="6"/>
  <c r="BG69" i="6"/>
  <c r="AJ69" i="6"/>
  <c r="BH69" i="6"/>
  <c r="AK69" i="6"/>
  <c r="BI69" i="6"/>
  <c r="BJ69" i="6"/>
  <c r="AL69" i="6"/>
  <c r="AI10" i="6"/>
  <c r="BJ10" i="6"/>
  <c r="AG10" i="6"/>
  <c r="AH10" i="6"/>
  <c r="AJ10" i="6"/>
  <c r="AP10" i="6"/>
  <c r="AQ10" i="6"/>
  <c r="AJ120" i="6"/>
  <c r="AW120" i="6"/>
  <c r="AX120" i="6"/>
  <c r="BD120" i="6"/>
  <c r="BF120" i="6"/>
  <c r="BG120" i="6"/>
  <c r="BH120" i="6"/>
  <c r="BI120" i="6"/>
  <c r="AG34" i="6"/>
  <c r="AN34" i="6"/>
  <c r="BI34" i="6"/>
  <c r="BC44" i="6"/>
  <c r="AT168" i="6"/>
  <c r="AZ158" i="6"/>
  <c r="BD91" i="6"/>
  <c r="AX36" i="6"/>
  <c r="AJ146" i="6"/>
  <c r="AP69" i="6"/>
  <c r="AI101" i="6"/>
  <c r="AK180" i="6"/>
  <c r="AP180" i="6"/>
  <c r="BJ180" i="6"/>
  <c r="AQ180" i="6"/>
  <c r="AS180" i="6"/>
  <c r="AT180" i="6"/>
  <c r="AU180" i="6"/>
  <c r="AX180" i="6"/>
  <c r="AV180" i="6"/>
  <c r="AW180" i="6"/>
  <c r="AQ22" i="6"/>
  <c r="AG22" i="6"/>
  <c r="BE22" i="6"/>
  <c r="AR22" i="6"/>
  <c r="AH22" i="6"/>
  <c r="BF22" i="6"/>
  <c r="AI22" i="6"/>
  <c r="BG22" i="6"/>
  <c r="AJ22" i="6"/>
  <c r="BH22" i="6"/>
  <c r="AK22" i="6"/>
  <c r="AN22" i="6"/>
  <c r="AO22" i="6"/>
  <c r="AQ203" i="6"/>
  <c r="AT203" i="6"/>
  <c r="AU203" i="6"/>
  <c r="AX203" i="6"/>
  <c r="AZ203" i="6"/>
  <c r="BA203" i="6"/>
  <c r="BB203" i="6"/>
  <c r="AH203" i="6"/>
  <c r="BD203" i="6"/>
  <c r="BE203" i="6"/>
  <c r="AG38" i="6"/>
  <c r="AH38" i="6"/>
  <c r="BE38" i="6"/>
  <c r="AQ38" i="6"/>
  <c r="AI38" i="6"/>
  <c r="BF38" i="6"/>
  <c r="AJ38" i="6"/>
  <c r="BH38" i="6"/>
  <c r="AL38" i="6"/>
  <c r="BI38" i="6"/>
  <c r="AM38" i="6"/>
  <c r="AO38" i="6"/>
  <c r="AP38" i="6"/>
  <c r="AR103" i="6"/>
  <c r="AY103" i="6"/>
  <c r="AZ103" i="6"/>
  <c r="BB103" i="6"/>
  <c r="BD103" i="6"/>
  <c r="BE103" i="6"/>
  <c r="BF103" i="6"/>
  <c r="BJ103" i="6"/>
  <c r="BG103" i="6"/>
  <c r="AH103" i="6"/>
  <c r="AL154" i="6"/>
  <c r="AY154" i="6"/>
  <c r="AZ154" i="6"/>
  <c r="BA154" i="6"/>
  <c r="BB154" i="6"/>
  <c r="BD154" i="6"/>
  <c r="AH154" i="6"/>
  <c r="BG154" i="6"/>
  <c r="AI154" i="6"/>
  <c r="BH154" i="6"/>
  <c r="BI154" i="6"/>
  <c r="AJ154" i="6"/>
  <c r="AW33" i="6"/>
  <c r="BD131" i="6"/>
  <c r="AP131" i="6"/>
  <c r="AQ131" i="6"/>
  <c r="AR131" i="6"/>
  <c r="AU131" i="6"/>
  <c r="AW131" i="6"/>
  <c r="AX131" i="6"/>
  <c r="BB131" i="6"/>
  <c r="BF131" i="6"/>
  <c r="AZ79" i="6"/>
  <c r="AQ79" i="6"/>
  <c r="AS79" i="6"/>
  <c r="AV79" i="6"/>
  <c r="AW79" i="6"/>
  <c r="AX79" i="6"/>
  <c r="BA79" i="6"/>
  <c r="BF79" i="6"/>
  <c r="BG79" i="6"/>
  <c r="AW14" i="6"/>
  <c r="AJ14" i="6"/>
  <c r="AN14" i="6"/>
  <c r="BE14" i="6"/>
  <c r="BI104" i="6"/>
  <c r="AH104" i="6"/>
  <c r="AI104" i="6"/>
  <c r="AJ104" i="6"/>
  <c r="AM104" i="6"/>
  <c r="AN104" i="6"/>
  <c r="AM142" i="6"/>
  <c r="AX142" i="6"/>
  <c r="AT166" i="6"/>
  <c r="AX166" i="6"/>
  <c r="BC166" i="6"/>
  <c r="BD166" i="6"/>
  <c r="BF166" i="6"/>
  <c r="AS168" i="6"/>
  <c r="BC180" i="6"/>
  <c r="AW158" i="6"/>
  <c r="BC91" i="6"/>
  <c r="AR203" i="6"/>
  <c r="AT36" i="6"/>
  <c r="AV22" i="6"/>
  <c r="BH18" i="6"/>
  <c r="AQ154" i="6"/>
  <c r="AI146" i="6"/>
  <c r="BD38" i="6"/>
  <c r="AM69" i="6"/>
  <c r="BA81" i="6"/>
  <c r="AN194" i="6"/>
  <c r="AR194" i="6"/>
  <c r="AQ194" i="6"/>
  <c r="BB91" i="6"/>
  <c r="AH36" i="6"/>
  <c r="AH146" i="6"/>
  <c r="AY151" i="6"/>
  <c r="AZ151" i="6"/>
  <c r="BA151" i="6"/>
  <c r="BB151" i="6"/>
  <c r="BI15" i="6"/>
  <c r="AN15" i="6"/>
  <c r="AP15" i="6"/>
  <c r="AQ15" i="6"/>
  <c r="AR15" i="6"/>
  <c r="AY15" i="6"/>
  <c r="AS15" i="6"/>
  <c r="AV15" i="6"/>
  <c r="AU195" i="6"/>
  <c r="BC195" i="6"/>
  <c r="AX121" i="6"/>
  <c r="BE194" i="6"/>
  <c r="AH168" i="6"/>
  <c r="AS158" i="6"/>
  <c r="BA91" i="6"/>
  <c r="AG36" i="6"/>
  <c r="BI26" i="6"/>
  <c r="AR176" i="6"/>
  <c r="AK176" i="6"/>
  <c r="AO176" i="6"/>
  <c r="AP176" i="6"/>
  <c r="AQ176" i="6"/>
  <c r="AS176" i="6"/>
  <c r="BA176" i="6"/>
  <c r="AY176" i="6"/>
  <c r="AZ176" i="6"/>
  <c r="AU29" i="6"/>
  <c r="AW29" i="6"/>
  <c r="AX29" i="6"/>
  <c r="BA29" i="6"/>
  <c r="BB29" i="6"/>
  <c r="BC29" i="6"/>
  <c r="BD29" i="6"/>
  <c r="AO167" i="6"/>
  <c r="BB167" i="6"/>
  <c r="BD167" i="6"/>
  <c r="BE167" i="6"/>
  <c r="AO141" i="6"/>
  <c r="AV3" i="6"/>
  <c r="AY3" i="6"/>
  <c r="AP62" i="6"/>
  <c r="BD194" i="6"/>
  <c r="BH176" i="6"/>
  <c r="AG168" i="6"/>
  <c r="AO180" i="6"/>
  <c r="AR158" i="6"/>
  <c r="AZ91" i="6"/>
  <c r="AL203" i="6"/>
  <c r="AZ19" i="6"/>
  <c r="AV21" i="6"/>
  <c r="AN154" i="6"/>
  <c r="AX38" i="6"/>
  <c r="AT103" i="6"/>
  <c r="AW97" i="6"/>
  <c r="AU120" i="6"/>
  <c r="AV81" i="6"/>
  <c r="AJ125" i="6"/>
  <c r="BG26" i="6"/>
  <c r="AQ166" i="6"/>
  <c r="BH106" i="6"/>
  <c r="AJ106" i="6"/>
  <c r="BD144" i="6"/>
  <c r="AT144" i="6"/>
  <c r="AU144" i="6"/>
  <c r="AX144" i="6"/>
  <c r="AZ144" i="6"/>
  <c r="AY144" i="6"/>
  <c r="BB202" i="6"/>
  <c r="BC202" i="6"/>
  <c r="AV200" i="6"/>
  <c r="AW200" i="6"/>
  <c r="AZ200" i="6"/>
  <c r="BA200" i="6"/>
  <c r="AG80" i="6"/>
  <c r="BE80" i="6"/>
  <c r="BF80" i="6"/>
  <c r="BG80" i="6"/>
  <c r="AT126" i="6"/>
  <c r="AU126" i="6"/>
  <c r="AV126" i="6"/>
  <c r="AW126" i="6"/>
  <c r="AX126" i="6"/>
  <c r="BC126" i="6"/>
  <c r="BA194" i="6"/>
  <c r="AX91" i="6"/>
  <c r="BA40" i="6"/>
  <c r="BI10" i="6"/>
  <c r="BF18" i="6"/>
  <c r="AK18" i="6"/>
  <c r="AJ18" i="6"/>
  <c r="AS147" i="6"/>
  <c r="AP147" i="6"/>
  <c r="AT147" i="6"/>
  <c r="BF147" i="6"/>
  <c r="AU147" i="6"/>
  <c r="AV147" i="6"/>
  <c r="AY147" i="6"/>
  <c r="AZ147" i="6"/>
  <c r="BE147" i="6"/>
  <c r="AS86" i="6"/>
  <c r="AR86" i="6"/>
  <c r="AT86" i="6"/>
  <c r="AU86" i="6"/>
  <c r="AX86" i="6"/>
  <c r="BB86" i="6"/>
  <c r="BC127" i="6"/>
  <c r="BH206" i="6"/>
  <c r="AO206" i="6"/>
  <c r="AQ206" i="6"/>
  <c r="BG206" i="6"/>
  <c r="AZ194" i="6"/>
  <c r="BF176" i="6"/>
  <c r="AM180" i="6"/>
  <c r="AP158" i="6"/>
  <c r="AW91" i="6"/>
  <c r="AJ203" i="6"/>
  <c r="AQ19" i="6"/>
  <c r="AR21" i="6"/>
  <c r="AV38" i="6"/>
  <c r="AN103" i="6"/>
  <c r="AQ97" i="6"/>
  <c r="AQ120" i="6"/>
  <c r="BG10" i="6"/>
  <c r="AN83" i="6"/>
  <c r="AK35" i="6"/>
  <c r="BI35" i="6"/>
  <c r="BJ35" i="6"/>
  <c r="BH40" i="6"/>
  <c r="BF40" i="6"/>
  <c r="AK113" i="6"/>
  <c r="BA107" i="6"/>
  <c r="BD107" i="6"/>
  <c r="AL118" i="6"/>
  <c r="AN118" i="6"/>
  <c r="AP118" i="6"/>
  <c r="AR118" i="6"/>
  <c r="BH118" i="6"/>
  <c r="BI118" i="6"/>
  <c r="AJ162" i="6"/>
  <c r="BC162" i="6"/>
  <c r="BD162" i="6"/>
  <c r="BE162" i="6"/>
  <c r="BH177" i="6"/>
  <c r="AG177" i="6"/>
  <c r="AU193" i="6"/>
  <c r="BC193" i="6"/>
  <c r="BD193" i="6"/>
  <c r="AT187" i="6"/>
  <c r="AU187" i="6"/>
  <c r="AV187" i="6"/>
  <c r="AS153" i="6"/>
  <c r="BH153" i="6"/>
  <c r="BI153" i="6"/>
  <c r="AP155" i="6"/>
  <c r="BD155" i="6"/>
  <c r="BF155" i="6"/>
  <c r="AQ158" i="6"/>
  <c r="AV97" i="6"/>
  <c r="AR120" i="6"/>
  <c r="AI125" i="6"/>
  <c r="AU76" i="6"/>
  <c r="AY76" i="6"/>
  <c r="AG102" i="6"/>
  <c r="AU102" i="6"/>
  <c r="AW102" i="6"/>
  <c r="AX102" i="6"/>
  <c r="BI102" i="6"/>
  <c r="AY102" i="6"/>
  <c r="AZ102" i="6"/>
  <c r="BA102" i="6"/>
  <c r="BB102" i="6"/>
  <c r="AZ138" i="6"/>
  <c r="AI138" i="6"/>
  <c r="AK138" i="6"/>
  <c r="AP138" i="6"/>
  <c r="AQ138" i="6"/>
  <c r="AV138" i="6"/>
  <c r="AR138" i="6"/>
  <c r="AT138" i="6"/>
  <c r="AU138" i="6"/>
  <c r="AY199" i="6"/>
  <c r="AH199" i="6"/>
  <c r="AI199" i="6"/>
  <c r="AZ199" i="6"/>
  <c r="BA199" i="6"/>
  <c r="BB199" i="6"/>
  <c r="AK174" i="6"/>
  <c r="AO174" i="6"/>
  <c r="AQ174" i="6"/>
  <c r="AT174" i="6"/>
  <c r="AW174" i="6"/>
  <c r="AX174" i="6"/>
  <c r="AY174" i="6"/>
  <c r="BA174" i="6"/>
  <c r="AZ174" i="6"/>
  <c r="AM149" i="6"/>
  <c r="AH149" i="6"/>
  <c r="AJ149" i="6"/>
  <c r="AK149" i="6"/>
  <c r="AN149" i="6"/>
  <c r="AY149" i="6"/>
  <c r="AZ149" i="6"/>
  <c r="BA149" i="6"/>
  <c r="BH37" i="6"/>
  <c r="BI37" i="6"/>
  <c r="BJ37" i="6"/>
  <c r="AJ17" i="6"/>
  <c r="AL198" i="6"/>
  <c r="AG198" i="6"/>
  <c r="BE198" i="6"/>
  <c r="AJ132" i="6"/>
  <c r="AK132" i="6"/>
  <c r="AP28" i="6"/>
  <c r="BA28" i="6"/>
  <c r="AY194" i="6"/>
  <c r="BE176" i="6"/>
  <c r="AJ180" i="6"/>
  <c r="AN174" i="6"/>
  <c r="AU167" i="6"/>
  <c r="AH91" i="6"/>
  <c r="BH138" i="6"/>
  <c r="AI203" i="6"/>
  <c r="BI199" i="6"/>
  <c r="AQ21" i="6"/>
  <c r="AY40" i="6"/>
  <c r="BJ146" i="6"/>
  <c r="AQ187" i="6"/>
  <c r="AS38" i="6"/>
  <c r="AL103" i="6"/>
  <c r="AP97" i="6"/>
  <c r="AN120" i="6"/>
  <c r="BE10" i="6"/>
  <c r="AQ132" i="6"/>
  <c r="BE24" i="6"/>
  <c r="AX75" i="6"/>
  <c r="AP67" i="6"/>
  <c r="BI8" i="6"/>
  <c r="AP8" i="6"/>
  <c r="AW148" i="6"/>
  <c r="AZ186" i="6"/>
  <c r="AI2" i="6"/>
  <c r="BJ157" i="6"/>
  <c r="AL157" i="6"/>
  <c r="AW160" i="6"/>
  <c r="BD90" i="6"/>
  <c r="AG90" i="6"/>
  <c r="AP49" i="6"/>
  <c r="AQ27" i="6"/>
  <c r="BC133" i="6"/>
  <c r="BG87" i="6"/>
  <c r="AJ87" i="6"/>
  <c r="AQ130" i="6"/>
  <c r="AG110" i="6"/>
  <c r="AI46" i="6"/>
  <c r="AS170" i="6"/>
  <c r="AW128" i="6"/>
  <c r="BA145" i="6"/>
  <c r="BC182" i="6"/>
  <c r="AS82" i="6"/>
  <c r="BB9" i="6"/>
  <c r="BC24" i="6"/>
  <c r="AW75" i="6"/>
  <c r="AO67" i="6"/>
  <c r="BH8" i="6"/>
  <c r="AO8" i="6"/>
  <c r="AV148" i="6"/>
  <c r="AV186" i="6"/>
  <c r="BI157" i="6"/>
  <c r="AK157" i="6"/>
  <c r="AU160" i="6"/>
  <c r="BC90" i="6"/>
  <c r="AN49" i="6"/>
  <c r="BI159" i="6"/>
  <c r="AK27" i="6"/>
  <c r="BB133" i="6"/>
  <c r="BF87" i="6"/>
  <c r="AI87" i="6"/>
  <c r="AP130" i="6"/>
  <c r="BJ129" i="6"/>
  <c r="AY145" i="6"/>
  <c r="BD52" i="6"/>
  <c r="AY182" i="6"/>
  <c r="AR82" i="6"/>
  <c r="BA9" i="6"/>
  <c r="BB24" i="6"/>
  <c r="AU75" i="6"/>
  <c r="AK67" i="6"/>
  <c r="BG8" i="6"/>
  <c r="AM8" i="6"/>
  <c r="AU148" i="6"/>
  <c r="AU186" i="6"/>
  <c r="BH157" i="6"/>
  <c r="AJ157" i="6"/>
  <c r="AT160" i="6"/>
  <c r="BB90" i="6"/>
  <c r="AL49" i="6"/>
  <c r="BH159" i="6"/>
  <c r="AJ27" i="6"/>
  <c r="BA133" i="6"/>
  <c r="BE87" i="6"/>
  <c r="AH87" i="6"/>
  <c r="AO130" i="6"/>
  <c r="BG129" i="6"/>
  <c r="AW145" i="6"/>
  <c r="AX52" i="6"/>
  <c r="AX182" i="6"/>
  <c r="AY9" i="6"/>
  <c r="BA24" i="6"/>
  <c r="AR75" i="6"/>
  <c r="AJ67" i="6"/>
  <c r="BF8" i="6"/>
  <c r="AL8" i="6"/>
  <c r="AT148" i="6"/>
  <c r="AT186" i="6"/>
  <c r="BG157" i="6"/>
  <c r="AI157" i="6"/>
  <c r="AS160" i="6"/>
  <c r="AZ90" i="6"/>
  <c r="AI49" i="6"/>
  <c r="BG159" i="6"/>
  <c r="AI27" i="6"/>
  <c r="AV133" i="6"/>
  <c r="BD87" i="6"/>
  <c r="AN130" i="6"/>
  <c r="AP139" i="6"/>
  <c r="BF129" i="6"/>
  <c r="BD184" i="6"/>
  <c r="AU52" i="6"/>
  <c r="AW24" i="6"/>
  <c r="AQ75" i="6"/>
  <c r="BI67" i="6"/>
  <c r="AI67" i="6"/>
  <c r="BE8" i="6"/>
  <c r="AK8" i="6"/>
  <c r="AP148" i="6"/>
  <c r="AS186" i="6"/>
  <c r="BF157" i="6"/>
  <c r="AH157" i="6"/>
  <c r="AL160" i="6"/>
  <c r="AY90" i="6"/>
  <c r="AH49" i="6"/>
  <c r="AU133" i="6"/>
  <c r="BB87" i="6"/>
  <c r="AO192" i="6"/>
  <c r="AK130" i="6"/>
  <c r="BA183" i="6"/>
  <c r="BJ46" i="6"/>
  <c r="AZ129" i="6"/>
  <c r="AU184" i="6"/>
  <c r="AT24" i="6"/>
  <c r="AL75" i="6"/>
  <c r="BH67" i="6"/>
  <c r="AG67" i="6"/>
  <c r="BC8" i="6"/>
  <c r="AJ8" i="6"/>
  <c r="AO148" i="6"/>
  <c r="AR186" i="6"/>
  <c r="BC157" i="6"/>
  <c r="AR47" i="6"/>
  <c r="AG160" i="6"/>
  <c r="AX90" i="6"/>
  <c r="BB117" i="6"/>
  <c r="AT133" i="6"/>
  <c r="BA87" i="6"/>
  <c r="AL59" i="6"/>
  <c r="BJ130" i="6"/>
  <c r="AJ130" i="6"/>
  <c r="AZ183" i="6"/>
  <c r="BH46" i="6"/>
  <c r="AY129" i="6"/>
  <c r="AM184" i="6"/>
  <c r="AS24" i="6"/>
  <c r="AK75" i="6"/>
  <c r="BF67" i="6"/>
  <c r="BB8" i="6"/>
  <c r="AP47" i="6"/>
  <c r="BA117" i="6"/>
  <c r="AK59" i="6"/>
  <c r="BI130" i="6"/>
  <c r="AY183" i="6"/>
  <c r="AL184" i="6"/>
  <c r="AR58" i="6"/>
  <c r="BH58" i="6"/>
  <c r="AS58" i="6"/>
  <c r="BI58" i="6"/>
  <c r="AI58" i="6"/>
  <c r="AY58" i="6"/>
  <c r="AH58" i="6"/>
  <c r="BB58" i="6"/>
  <c r="AJ58" i="6"/>
  <c r="BC58" i="6"/>
  <c r="AP58" i="6"/>
  <c r="AX58" i="6"/>
  <c r="AZ58" i="6"/>
  <c r="BA58" i="6"/>
  <c r="BD58" i="6"/>
  <c r="BE58" i="6"/>
  <c r="AG58" i="6"/>
  <c r="BF58" i="6"/>
  <c r="AK58" i="6"/>
  <c r="BG58" i="6"/>
  <c r="AL58" i="6"/>
  <c r="BJ58" i="6"/>
  <c r="AM58" i="6"/>
  <c r="AU31" i="6"/>
  <c r="AH31" i="6"/>
  <c r="AY31" i="6"/>
  <c r="AI31" i="6"/>
  <c r="AZ31" i="6"/>
  <c r="AG31" i="6"/>
  <c r="BB31" i="6"/>
  <c r="AJ31" i="6"/>
  <c r="BC31" i="6"/>
  <c r="AP31" i="6"/>
  <c r="BI31" i="6"/>
  <c r="AX31" i="6"/>
  <c r="BA31" i="6"/>
  <c r="AM31" i="6"/>
  <c r="BJ31" i="6"/>
  <c r="AT31" i="6"/>
  <c r="AV31" i="6"/>
  <c r="BH31" i="6"/>
  <c r="BE31" i="6"/>
  <c r="BF31" i="6"/>
  <c r="BG31" i="6"/>
  <c r="AK31" i="6"/>
  <c r="AL31" i="6"/>
  <c r="AN31" i="6"/>
  <c r="AO31" i="6"/>
  <c r="AQ31" i="6"/>
  <c r="AR31" i="6"/>
  <c r="AS31" i="6"/>
  <c r="AW31" i="6"/>
  <c r="BD31" i="6"/>
  <c r="AV85" i="6"/>
  <c r="AG85" i="6"/>
  <c r="AW85" i="6"/>
  <c r="AM85" i="6"/>
  <c r="BC85" i="6"/>
  <c r="AS85" i="6"/>
  <c r="AT85" i="6"/>
  <c r="AI85" i="6"/>
  <c r="BB85" i="6"/>
  <c r="AQ85" i="6"/>
  <c r="AR85" i="6"/>
  <c r="AU85" i="6"/>
  <c r="AX85" i="6"/>
  <c r="AY85" i="6"/>
  <c r="AZ85" i="6"/>
  <c r="BA85" i="6"/>
  <c r="BD85" i="6"/>
  <c r="BE85" i="6"/>
  <c r="AS4" i="6"/>
  <c r="BI4" i="6"/>
  <c r="AV4" i="6"/>
  <c r="AQ4" i="6"/>
  <c r="BJ4" i="6"/>
  <c r="AR4" i="6"/>
  <c r="AH4" i="6"/>
  <c r="BB4" i="6"/>
  <c r="AI4" i="6"/>
  <c r="BC4" i="6"/>
  <c r="AO4" i="6"/>
  <c r="AJ4" i="6"/>
  <c r="BG4" i="6"/>
  <c r="AK4" i="6"/>
  <c r="BH4" i="6"/>
  <c r="AU4" i="6"/>
  <c r="AG4" i="6"/>
  <c r="AW4" i="6"/>
  <c r="AL4" i="6"/>
  <c r="AM4" i="6"/>
  <c r="AN4" i="6"/>
  <c r="AP4" i="6"/>
  <c r="AT4" i="6"/>
  <c r="AX4" i="6"/>
  <c r="AY4" i="6"/>
  <c r="AZ4" i="6"/>
  <c r="BA4" i="6"/>
  <c r="BD4" i="6"/>
  <c r="BE4" i="6"/>
  <c r="BF4" i="6"/>
  <c r="AN77" i="6"/>
  <c r="BG204" i="6"/>
  <c r="AS48" i="6"/>
  <c r="BI48" i="6"/>
  <c r="AT48" i="6"/>
  <c r="BJ48" i="6"/>
  <c r="AJ48" i="6"/>
  <c r="AZ48" i="6"/>
  <c r="AP48" i="6"/>
  <c r="AQ48" i="6"/>
  <c r="AR48" i="6"/>
  <c r="AU48" i="6"/>
  <c r="AY48" i="6"/>
  <c r="AS205" i="6"/>
  <c r="BI205" i="6"/>
  <c r="AU205" i="6"/>
  <c r="AV205" i="6"/>
  <c r="AQ205" i="6"/>
  <c r="AR205" i="6"/>
  <c r="AH205" i="6"/>
  <c r="BA205" i="6"/>
  <c r="AI205" i="6"/>
  <c r="BE205" i="6"/>
  <c r="AJ205" i="6"/>
  <c r="BF205" i="6"/>
  <c r="AP205" i="6"/>
  <c r="AX205" i="6"/>
  <c r="AY205" i="6"/>
  <c r="BH205" i="6"/>
  <c r="AW205" i="6"/>
  <c r="AZ205" i="6"/>
  <c r="BB205" i="6"/>
  <c r="BC205" i="6"/>
  <c r="BD205" i="6"/>
  <c r="BG205" i="6"/>
  <c r="BJ205" i="6"/>
  <c r="AG205" i="6"/>
  <c r="AK205" i="6"/>
  <c r="AL205" i="6"/>
  <c r="AM205" i="6"/>
  <c r="AN205" i="6"/>
  <c r="BF204" i="6"/>
  <c r="BE115" i="6"/>
  <c r="AL42" i="6"/>
  <c r="BB42" i="6"/>
  <c r="AM42" i="6"/>
  <c r="BC42" i="6"/>
  <c r="AS42" i="6"/>
  <c r="BI42" i="6"/>
  <c r="AT42" i="6"/>
  <c r="AU42" i="6"/>
  <c r="AV42" i="6"/>
  <c r="AH42" i="6"/>
  <c r="BA42" i="6"/>
  <c r="AP42" i="6"/>
  <c r="AQ42" i="6"/>
  <c r="AR42" i="6"/>
  <c r="AW42" i="6"/>
  <c r="AX42" i="6"/>
  <c r="AY42" i="6"/>
  <c r="AZ42" i="6"/>
  <c r="BD42" i="6"/>
  <c r="BE42" i="6"/>
  <c r="AP164" i="6"/>
  <c r="BF164" i="6"/>
  <c r="AQ164" i="6"/>
  <c r="BG164" i="6"/>
  <c r="AG164" i="6"/>
  <c r="AW164" i="6"/>
  <c r="AZ164" i="6"/>
  <c r="AH164" i="6"/>
  <c r="BA164" i="6"/>
  <c r="AN164" i="6"/>
  <c r="BI164" i="6"/>
  <c r="AJ164" i="6"/>
  <c r="BH164" i="6"/>
  <c r="AK164" i="6"/>
  <c r="BJ164" i="6"/>
  <c r="AL164" i="6"/>
  <c r="AM164" i="6"/>
  <c r="AO164" i="6"/>
  <c r="AR164" i="6"/>
  <c r="AS164" i="6"/>
  <c r="AT164" i="6"/>
  <c r="AY164" i="6"/>
  <c r="BB164" i="6"/>
  <c r="BC164" i="6"/>
  <c r="BD164" i="6"/>
  <c r="BE164" i="6"/>
  <c r="AM197" i="6"/>
  <c r="BC197" i="6"/>
  <c r="AH197" i="6"/>
  <c r="AY197" i="6"/>
  <c r="AI197" i="6"/>
  <c r="AZ197" i="6"/>
  <c r="AK197" i="6"/>
  <c r="BE197" i="6"/>
  <c r="AL197" i="6"/>
  <c r="BF197" i="6"/>
  <c r="AS197" i="6"/>
  <c r="AX197" i="6"/>
  <c r="BA197" i="6"/>
  <c r="AN197" i="6"/>
  <c r="BJ197" i="6"/>
  <c r="AV197" i="6"/>
  <c r="AW197" i="6"/>
  <c r="AG197" i="6"/>
  <c r="AJ197" i="6"/>
  <c r="AO197" i="6"/>
  <c r="AP197" i="6"/>
  <c r="AQ197" i="6"/>
  <c r="AR197" i="6"/>
  <c r="BI197" i="6"/>
  <c r="BE163" i="6"/>
  <c r="AT96" i="6"/>
  <c r="BD48" i="6"/>
  <c r="AO58" i="6"/>
  <c r="AV112" i="6"/>
  <c r="AR5" i="6"/>
  <c r="BH5" i="6"/>
  <c r="AS5" i="6"/>
  <c r="BI5" i="6"/>
  <c r="AI5" i="6"/>
  <c r="AY5" i="6"/>
  <c r="AX5" i="6"/>
  <c r="AZ5" i="6"/>
  <c r="AM5" i="6"/>
  <c r="BF5" i="6"/>
  <c r="BB5" i="6"/>
  <c r="BC5" i="6"/>
  <c r="AG5" i="6"/>
  <c r="BD5" i="6"/>
  <c r="AH5" i="6"/>
  <c r="BE5" i="6"/>
  <c r="AJ5" i="6"/>
  <c r="BG5" i="6"/>
  <c r="AK5" i="6"/>
  <c r="BJ5" i="6"/>
  <c r="AL5" i="6"/>
  <c r="AN5" i="6"/>
  <c r="AO5" i="6"/>
  <c r="AJ169" i="6"/>
  <c r="AL169" i="6"/>
  <c r="BB169" i="6"/>
  <c r="AM169" i="6"/>
  <c r="BC169" i="6"/>
  <c r="AS169" i="6"/>
  <c r="BI169" i="6"/>
  <c r="AI169" i="6"/>
  <c r="BE169" i="6"/>
  <c r="AK169" i="6"/>
  <c r="BF169" i="6"/>
  <c r="AT169" i="6"/>
  <c r="AR169" i="6"/>
  <c r="AU169" i="6"/>
  <c r="AV169" i="6"/>
  <c r="AW169" i="6"/>
  <c r="AX169" i="6"/>
  <c r="AY169" i="6"/>
  <c r="AZ169" i="6"/>
  <c r="BA169" i="6"/>
  <c r="AH169" i="6"/>
  <c r="AN169" i="6"/>
  <c r="AO169" i="6"/>
  <c r="AP169" i="6"/>
  <c r="AQ169" i="6"/>
  <c r="BD169" i="6"/>
  <c r="BG169" i="6"/>
  <c r="BH169" i="6"/>
  <c r="BJ169" i="6"/>
  <c r="AY189" i="6"/>
  <c r="AS43" i="6"/>
  <c r="AN58" i="6"/>
  <c r="AS112" i="6"/>
  <c r="AX189" i="6"/>
  <c r="BB163" i="6"/>
  <c r="BB48" i="6"/>
  <c r="AR43" i="6"/>
  <c r="BF2" i="6"/>
  <c r="AS45" i="6"/>
  <c r="BJ143" i="6"/>
  <c r="BA5" i="6"/>
  <c r="AR112" i="6"/>
  <c r="AO105" i="6"/>
  <c r="AU164" i="6"/>
  <c r="BD64" i="6"/>
  <c r="AU113" i="6"/>
  <c r="BI185" i="6"/>
  <c r="AH101" i="6"/>
  <c r="AQ128" i="6"/>
  <c r="AU100" i="6"/>
  <c r="BD197" i="6"/>
  <c r="AM82" i="6"/>
  <c r="AH89" i="6"/>
  <c r="AX89" i="6"/>
  <c r="AI89" i="6"/>
  <c r="AY89" i="6"/>
  <c r="AO89" i="6"/>
  <c r="BE89" i="6"/>
  <c r="AZ89" i="6"/>
  <c r="BA89" i="6"/>
  <c r="AN89" i="6"/>
  <c r="BH89" i="6"/>
  <c r="AP89" i="6"/>
  <c r="AQ89" i="6"/>
  <c r="AR89" i="6"/>
  <c r="AS89" i="6"/>
  <c r="AU89" i="6"/>
  <c r="AW89" i="6"/>
  <c r="AN11" i="6"/>
  <c r="BD11" i="6"/>
  <c r="AO11" i="6"/>
  <c r="BE11" i="6"/>
  <c r="AU11" i="6"/>
  <c r="AJ11" i="6"/>
  <c r="BC11" i="6"/>
  <c r="AK11" i="6"/>
  <c r="BF11" i="6"/>
  <c r="AS11" i="6"/>
  <c r="AX11" i="6"/>
  <c r="AY11" i="6"/>
  <c r="AZ11" i="6"/>
  <c r="BA11" i="6"/>
  <c r="AI11" i="6"/>
  <c r="BI11" i="6"/>
  <c r="AT159" i="6"/>
  <c r="BJ159" i="6"/>
  <c r="AU159" i="6"/>
  <c r="AK159" i="6"/>
  <c r="BA159" i="6"/>
  <c r="AQ159" i="6"/>
  <c r="AR159" i="6"/>
  <c r="AG159" i="6"/>
  <c r="AZ159" i="6"/>
  <c r="AS159" i="6"/>
  <c r="AV159" i="6"/>
  <c r="AW159" i="6"/>
  <c r="AX159" i="6"/>
  <c r="BB159" i="6"/>
  <c r="BC159" i="6"/>
  <c r="BD159" i="6"/>
  <c r="AH159" i="6"/>
  <c r="BE159" i="6"/>
  <c r="AP71" i="6"/>
  <c r="BF71" i="6"/>
  <c r="AQ71" i="6"/>
  <c r="BG71" i="6"/>
  <c r="AG71" i="6"/>
  <c r="AW71" i="6"/>
  <c r="AJ71" i="6"/>
  <c r="BC71" i="6"/>
  <c r="AK71" i="6"/>
  <c r="BD71" i="6"/>
  <c r="AL71" i="6"/>
  <c r="BE71" i="6"/>
  <c r="AS71" i="6"/>
  <c r="BI71" i="6"/>
  <c r="AH71" i="6"/>
  <c r="BJ71" i="6"/>
  <c r="AI71" i="6"/>
  <c r="AM71" i="6"/>
  <c r="AN71" i="6"/>
  <c r="AO71" i="6"/>
  <c r="AR71" i="6"/>
  <c r="AT71" i="6"/>
  <c r="AU71" i="6"/>
  <c r="AK152" i="6"/>
  <c r="BA152" i="6"/>
  <c r="AL152" i="6"/>
  <c r="BB152" i="6"/>
  <c r="AR152" i="6"/>
  <c r="BH152" i="6"/>
  <c r="AJ152" i="6"/>
  <c r="BE152" i="6"/>
  <c r="AM152" i="6"/>
  <c r="BF152" i="6"/>
  <c r="AT152" i="6"/>
  <c r="AG152" i="6"/>
  <c r="BG152" i="6"/>
  <c r="AH152" i="6"/>
  <c r="BI152" i="6"/>
  <c r="AI152" i="6"/>
  <c r="BJ152" i="6"/>
  <c r="AS152" i="6"/>
  <c r="AQ152" i="6"/>
  <c r="AU152" i="6"/>
  <c r="AV152" i="6"/>
  <c r="AW152" i="6"/>
  <c r="AX152" i="6"/>
  <c r="AY152" i="6"/>
  <c r="AZ152" i="6"/>
  <c r="BC152" i="6"/>
  <c r="AN152" i="6"/>
  <c r="AO152" i="6"/>
  <c r="AP152" i="6"/>
  <c r="BD152" i="6"/>
  <c r="AP194" i="6"/>
  <c r="AR9" i="6"/>
  <c r="AW189" i="6"/>
  <c r="BA163" i="6"/>
  <c r="AO96" i="6"/>
  <c r="AS144" i="6"/>
  <c r="AK123" i="6"/>
  <c r="AW204" i="6"/>
  <c r="BA48" i="6"/>
  <c r="AW11" i="6"/>
  <c r="AR177" i="6"/>
  <c r="AM15" i="6"/>
  <c r="AQ43" i="6"/>
  <c r="BD89" i="6"/>
  <c r="AX2" i="6"/>
  <c r="AX156" i="6"/>
  <c r="AQ45" i="6"/>
  <c r="BI143" i="6"/>
  <c r="AW5" i="6"/>
  <c r="BG35" i="6"/>
  <c r="AV193" i="6"/>
  <c r="AY159" i="6"/>
  <c r="BB195" i="6"/>
  <c r="BJ42" i="6"/>
  <c r="AH78" i="6"/>
  <c r="BC80" i="6"/>
  <c r="BB13" i="6"/>
  <c r="BJ54" i="6"/>
  <c r="AM118" i="6"/>
  <c r="AP112" i="6"/>
  <c r="AN105" i="6"/>
  <c r="AI164" i="6"/>
  <c r="BA64" i="6"/>
  <c r="AS113" i="6"/>
  <c r="AQ185" i="6"/>
  <c r="AK128" i="6"/>
  <c r="AY153" i="6"/>
  <c r="BA150" i="6"/>
  <c r="BB197" i="6"/>
  <c r="AZ155" i="6"/>
  <c r="AO194" i="6"/>
  <c r="AP9" i="6"/>
  <c r="AO162" i="6"/>
  <c r="AT102" i="6"/>
  <c r="AV189" i="6"/>
  <c r="AZ163" i="6"/>
  <c r="AN96" i="6"/>
  <c r="AL144" i="6"/>
  <c r="BJ123" i="6"/>
  <c r="AT204" i="6"/>
  <c r="AX48" i="6"/>
  <c r="AW147" i="6"/>
  <c r="BD149" i="6"/>
  <c r="AV11" i="6"/>
  <c r="AR174" i="6"/>
  <c r="AH177" i="6"/>
  <c r="AJ15" i="6"/>
  <c r="AL43" i="6"/>
  <c r="BE77" i="6"/>
  <c r="BC89" i="6"/>
  <c r="AW2" i="6"/>
  <c r="AW156" i="6"/>
  <c r="BJ85" i="6"/>
  <c r="AP45" i="6"/>
  <c r="AY86" i="6"/>
  <c r="BH143" i="6"/>
  <c r="AV5" i="6"/>
  <c r="BF35" i="6"/>
  <c r="AP159" i="6"/>
  <c r="AZ195" i="6"/>
  <c r="BH42" i="6"/>
  <c r="AG78" i="6"/>
  <c r="BB80" i="6"/>
  <c r="BF72" i="6"/>
  <c r="BI54" i="6"/>
  <c r="AO112" i="6"/>
  <c r="BI98" i="6"/>
  <c r="AT23" i="6"/>
  <c r="AQ113" i="6"/>
  <c r="AP185" i="6"/>
  <c r="AU153" i="6"/>
  <c r="AU197" i="6"/>
  <c r="AR155" i="6"/>
  <c r="BH124" i="6"/>
  <c r="AJ13" i="6"/>
  <c r="AZ13" i="6"/>
  <c r="AK13" i="6"/>
  <c r="BA13" i="6"/>
  <c r="AQ13" i="6"/>
  <c r="BG13" i="6"/>
  <c r="AN13" i="6"/>
  <c r="BH13" i="6"/>
  <c r="AO13" i="6"/>
  <c r="BI13" i="6"/>
  <c r="AP13" i="6"/>
  <c r="BJ13" i="6"/>
  <c r="AV13" i="6"/>
  <c r="BC13" i="6"/>
  <c r="BD13" i="6"/>
  <c r="BE13" i="6"/>
  <c r="AG13" i="6"/>
  <c r="BF13" i="6"/>
  <c r="AH13" i="6"/>
  <c r="AI13" i="6"/>
  <c r="AL13" i="6"/>
  <c r="AM13" i="6"/>
  <c r="AR13" i="6"/>
  <c r="AL115" i="6"/>
  <c r="BB115" i="6"/>
  <c r="AM115" i="6"/>
  <c r="BC115" i="6"/>
  <c r="AS115" i="6"/>
  <c r="BI115" i="6"/>
  <c r="AG115" i="6"/>
  <c r="AZ115" i="6"/>
  <c r="AH115" i="6"/>
  <c r="BA115" i="6"/>
  <c r="AI115" i="6"/>
  <c r="BD115" i="6"/>
  <c r="AP115" i="6"/>
  <c r="BJ115" i="6"/>
  <c r="AK115" i="6"/>
  <c r="AN115" i="6"/>
  <c r="AO115" i="6"/>
  <c r="AQ115" i="6"/>
  <c r="AR115" i="6"/>
  <c r="AT115" i="6"/>
  <c r="AU115" i="6"/>
  <c r="AV115" i="6"/>
  <c r="AW115" i="6"/>
  <c r="BI204" i="6"/>
  <c r="AV196" i="6"/>
  <c r="AG196" i="6"/>
  <c r="AW196" i="6"/>
  <c r="AU196" i="6"/>
  <c r="AX196" i="6"/>
  <c r="AL196" i="6"/>
  <c r="BD196" i="6"/>
  <c r="AH196" i="6"/>
  <c r="BC196" i="6"/>
  <c r="AI196" i="6"/>
  <c r="BE196" i="6"/>
  <c r="AP196" i="6"/>
  <c r="AS196" i="6"/>
  <c r="AT196" i="6"/>
  <c r="AY196" i="6"/>
  <c r="BA196" i="6"/>
  <c r="BB196" i="6"/>
  <c r="BF196" i="6"/>
  <c r="BG196" i="6"/>
  <c r="AJ196" i="6"/>
  <c r="AK196" i="6"/>
  <c r="AM196" i="6"/>
  <c r="AR196" i="6"/>
  <c r="AZ196" i="6"/>
  <c r="BH196" i="6"/>
  <c r="BI196" i="6"/>
  <c r="BJ196" i="6"/>
  <c r="BE48" i="6"/>
  <c r="BA43" i="6"/>
  <c r="AJ105" i="6"/>
  <c r="AZ105" i="6"/>
  <c r="AK105" i="6"/>
  <c r="BA105" i="6"/>
  <c r="AQ105" i="6"/>
  <c r="BG105" i="6"/>
  <c r="AU105" i="6"/>
  <c r="AV105" i="6"/>
  <c r="AW105" i="6"/>
  <c r="AX105" i="6"/>
  <c r="AG105" i="6"/>
  <c r="BB105" i="6"/>
  <c r="AI105" i="6"/>
  <c r="BD105" i="6"/>
  <c r="AP105" i="6"/>
  <c r="AR105" i="6"/>
  <c r="AS105" i="6"/>
  <c r="AT105" i="6"/>
  <c r="AY105" i="6"/>
  <c r="BC105" i="6"/>
  <c r="BE105" i="6"/>
  <c r="BF105" i="6"/>
  <c r="BH105" i="6"/>
  <c r="BD156" i="6"/>
  <c r="AR188" i="6"/>
  <c r="BH188" i="6"/>
  <c r="AG188" i="6"/>
  <c r="AX188" i="6"/>
  <c r="AH188" i="6"/>
  <c r="AY188" i="6"/>
  <c r="AN188" i="6"/>
  <c r="BE188" i="6"/>
  <c r="BB188" i="6"/>
  <c r="AI188" i="6"/>
  <c r="BC188" i="6"/>
  <c r="AP188" i="6"/>
  <c r="BG188" i="6"/>
  <c r="AJ188" i="6"/>
  <c r="BI188" i="6"/>
  <c r="AK188" i="6"/>
  <c r="BJ188" i="6"/>
  <c r="AM188" i="6"/>
  <c r="AO188" i="6"/>
  <c r="AQ188" i="6"/>
  <c r="AS188" i="6"/>
  <c r="AL188" i="6"/>
  <c r="AT188" i="6"/>
  <c r="AU188" i="6"/>
  <c r="AV188" i="6"/>
  <c r="AW188" i="6"/>
  <c r="AZ188" i="6"/>
  <c r="BF188" i="6"/>
  <c r="AP96" i="6"/>
  <c r="AO9" i="6"/>
  <c r="AU189" i="6"/>
  <c r="AY163" i="6"/>
  <c r="AM96" i="6"/>
  <c r="AK144" i="6"/>
  <c r="BI123" i="6"/>
  <c r="AS204" i="6"/>
  <c r="AW48" i="6"/>
  <c r="AK43" i="6"/>
  <c r="BD77" i="6"/>
  <c r="BB89" i="6"/>
  <c r="AV2" i="6"/>
  <c r="AV156" i="6"/>
  <c r="BI85" i="6"/>
  <c r="AO45" i="6"/>
  <c r="BG143" i="6"/>
  <c r="AU5" i="6"/>
  <c r="BC35" i="6"/>
  <c r="AO159" i="6"/>
  <c r="AY195" i="6"/>
  <c r="BG42" i="6"/>
  <c r="AW135" i="6"/>
  <c r="AZ80" i="6"/>
  <c r="AX13" i="6"/>
  <c r="BC72" i="6"/>
  <c r="BH54" i="6"/>
  <c r="BJ59" i="6"/>
  <c r="BC121" i="6"/>
  <c r="AL105" i="6"/>
  <c r="BH98" i="6"/>
  <c r="AQ23" i="6"/>
  <c r="AP113" i="6"/>
  <c r="BA61" i="6"/>
  <c r="AT197" i="6"/>
  <c r="AQ155" i="6"/>
  <c r="AP173" i="6"/>
  <c r="BF173" i="6"/>
  <c r="AQ173" i="6"/>
  <c r="BG173" i="6"/>
  <c r="AG173" i="6"/>
  <c r="AW173" i="6"/>
  <c r="AN173" i="6"/>
  <c r="BI173" i="6"/>
  <c r="AO173" i="6"/>
  <c r="BJ173" i="6"/>
  <c r="AX173" i="6"/>
  <c r="AI173" i="6"/>
  <c r="BE173" i="6"/>
  <c r="AJ173" i="6"/>
  <c r="BH173" i="6"/>
  <c r="AK173" i="6"/>
  <c r="AL173" i="6"/>
  <c r="AM173" i="6"/>
  <c r="AR173" i="6"/>
  <c r="AS173" i="6"/>
  <c r="AT173" i="6"/>
  <c r="AU173" i="6"/>
  <c r="AQ99" i="6"/>
  <c r="BG99" i="6"/>
  <c r="AT99" i="6"/>
  <c r="BJ99" i="6"/>
  <c r="AK99" i="6"/>
  <c r="BC99" i="6"/>
  <c r="AL99" i="6"/>
  <c r="BD99" i="6"/>
  <c r="AP99" i="6"/>
  <c r="AR99" i="6"/>
  <c r="AY99" i="6"/>
  <c r="AM99" i="6"/>
  <c r="AN99" i="6"/>
  <c r="AX99" i="6"/>
  <c r="BI99" i="6"/>
  <c r="AG99" i="6"/>
  <c r="AU99" i="6"/>
  <c r="BH99" i="6"/>
  <c r="AH99" i="6"/>
  <c r="AI99" i="6"/>
  <c r="AJ99" i="6"/>
  <c r="AO99" i="6"/>
  <c r="AS99" i="6"/>
  <c r="AV99" i="6"/>
  <c r="AW99" i="6"/>
  <c r="AZ99" i="6"/>
  <c r="BA99" i="6"/>
  <c r="BB99" i="6"/>
  <c r="BE99" i="6"/>
  <c r="BF99" i="6"/>
  <c r="AQ139" i="6"/>
  <c r="BG139" i="6"/>
  <c r="AR139" i="6"/>
  <c r="BH139" i="6"/>
  <c r="AH139" i="6"/>
  <c r="AX139" i="6"/>
  <c r="AL139" i="6"/>
  <c r="BE139" i="6"/>
  <c r="AM139" i="6"/>
  <c r="BF139" i="6"/>
  <c r="AU139" i="6"/>
  <c r="AT139" i="6"/>
  <c r="AV139" i="6"/>
  <c r="BC139" i="6"/>
  <c r="BA139" i="6"/>
  <c r="BB139" i="6"/>
  <c r="BD139" i="6"/>
  <c r="BI139" i="6"/>
  <c r="BJ139" i="6"/>
  <c r="AG139" i="6"/>
  <c r="AI139" i="6"/>
  <c r="AJ139" i="6"/>
  <c r="AW139" i="6"/>
  <c r="AY139" i="6"/>
  <c r="AZ139" i="6"/>
  <c r="AH192" i="6"/>
  <c r="AM185" i="6"/>
  <c r="BC185" i="6"/>
  <c r="AN185" i="6"/>
  <c r="BD185" i="6"/>
  <c r="AT185" i="6"/>
  <c r="BJ185" i="6"/>
  <c r="AU185" i="6"/>
  <c r="AV185" i="6"/>
  <c r="AI185" i="6"/>
  <c r="BB185" i="6"/>
  <c r="AZ185" i="6"/>
  <c r="BA185" i="6"/>
  <c r="BE185" i="6"/>
  <c r="AL185" i="6"/>
  <c r="AR185" i="6"/>
  <c r="AS185" i="6"/>
  <c r="AW185" i="6"/>
  <c r="AX185" i="6"/>
  <c r="AY185" i="6"/>
  <c r="BF185" i="6"/>
  <c r="BG185" i="6"/>
  <c r="BH185" i="6"/>
  <c r="AG185" i="6"/>
  <c r="AQ170" i="6"/>
  <c r="BG170" i="6"/>
  <c r="AR170" i="6"/>
  <c r="BH170" i="6"/>
  <c r="AH170" i="6"/>
  <c r="AX170" i="6"/>
  <c r="AT170" i="6"/>
  <c r="AU170" i="6"/>
  <c r="AI170" i="6"/>
  <c r="BB170" i="6"/>
  <c r="AN170" i="6"/>
  <c r="AO170" i="6"/>
  <c r="AP170" i="6"/>
  <c r="AZ170" i="6"/>
  <c r="AY170" i="6"/>
  <c r="BA170" i="6"/>
  <c r="BC170" i="6"/>
  <c r="BD170" i="6"/>
  <c r="BE170" i="6"/>
  <c r="BF170" i="6"/>
  <c r="BI170" i="6"/>
  <c r="BJ170" i="6"/>
  <c r="AG170" i="6"/>
  <c r="AJ170" i="6"/>
  <c r="BH197" i="6"/>
  <c r="AU82" i="6"/>
  <c r="AH82" i="6"/>
  <c r="AX82" i="6"/>
  <c r="AI82" i="6"/>
  <c r="BA82" i="6"/>
  <c r="AJ82" i="6"/>
  <c r="BB82" i="6"/>
  <c r="AG82" i="6"/>
  <c r="BD82" i="6"/>
  <c r="AK82" i="6"/>
  <c r="BE82" i="6"/>
  <c r="AQ82" i="6"/>
  <c r="AN82" i="6"/>
  <c r="AO82" i="6"/>
  <c r="AW82" i="6"/>
  <c r="AZ82" i="6"/>
  <c r="BC82" i="6"/>
  <c r="AT82" i="6"/>
  <c r="AV82" i="6"/>
  <c r="AY82" i="6"/>
  <c r="BF82" i="6"/>
  <c r="BG82" i="6"/>
  <c r="BH82" i="6"/>
  <c r="BI82" i="6"/>
  <c r="BJ82" i="6"/>
  <c r="AM123" i="6"/>
  <c r="AT201" i="6"/>
  <c r="BJ201" i="6"/>
  <c r="AU201" i="6"/>
  <c r="AK201" i="6"/>
  <c r="BA201" i="6"/>
  <c r="AY201" i="6"/>
  <c r="AG201" i="6"/>
  <c r="AZ201" i="6"/>
  <c r="AN201" i="6"/>
  <c r="BG201" i="6"/>
  <c r="AV201" i="6"/>
  <c r="AW201" i="6"/>
  <c r="AX201" i="6"/>
  <c r="BB201" i="6"/>
  <c r="BC201" i="6"/>
  <c r="BD201" i="6"/>
  <c r="AH201" i="6"/>
  <c r="BE201" i="6"/>
  <c r="AI201" i="6"/>
  <c r="BF201" i="6"/>
  <c r="AO201" i="6"/>
  <c r="AP201" i="6"/>
  <c r="AQ201" i="6"/>
  <c r="AR201" i="6"/>
  <c r="AS201" i="6"/>
  <c r="BH201" i="6"/>
  <c r="BI201" i="6"/>
  <c r="AN74" i="6"/>
  <c r="BD74" i="6"/>
  <c r="AO74" i="6"/>
  <c r="AK74" i="6"/>
  <c r="BC74" i="6"/>
  <c r="AL74" i="6"/>
  <c r="BE74" i="6"/>
  <c r="AT74" i="6"/>
  <c r="AQ74" i="6"/>
  <c r="AR74" i="6"/>
  <c r="AY74" i="6"/>
  <c r="AH74" i="6"/>
  <c r="BI74" i="6"/>
  <c r="AI74" i="6"/>
  <c r="BJ74" i="6"/>
  <c r="AV74" i="6"/>
  <c r="BF74" i="6"/>
  <c r="BG74" i="6"/>
  <c r="BH74" i="6"/>
  <c r="AG74" i="6"/>
  <c r="AJ74" i="6"/>
  <c r="AM74" i="6"/>
  <c r="AP74" i="6"/>
  <c r="AS74" i="6"/>
  <c r="AU74" i="6"/>
  <c r="AW74" i="6"/>
  <c r="AX74" i="6"/>
  <c r="AM92" i="6"/>
  <c r="BC92" i="6"/>
  <c r="AP92" i="6"/>
  <c r="BF92" i="6"/>
  <c r="AN92" i="6"/>
  <c r="BG92" i="6"/>
  <c r="AO92" i="6"/>
  <c r="BH92" i="6"/>
  <c r="AX92" i="6"/>
  <c r="AY92" i="6"/>
  <c r="AK92" i="6"/>
  <c r="BI92" i="6"/>
  <c r="AL92" i="6"/>
  <c r="AQ92" i="6"/>
  <c r="AW92" i="6"/>
  <c r="AR92" i="6"/>
  <c r="AS92" i="6"/>
  <c r="BB92" i="6"/>
  <c r="AI92" i="6"/>
  <c r="AJ92" i="6"/>
  <c r="AT92" i="6"/>
  <c r="AU92" i="6"/>
  <c r="AV92" i="6"/>
  <c r="AZ92" i="6"/>
  <c r="BA92" i="6"/>
  <c r="BD92" i="6"/>
  <c r="AG92" i="6"/>
  <c r="AH92" i="6"/>
  <c r="BE92" i="6"/>
  <c r="BJ92" i="6"/>
  <c r="BJ194" i="6"/>
  <c r="AV194" i="6"/>
  <c r="AW194" i="6"/>
  <c r="AM194" i="6"/>
  <c r="BC194" i="6"/>
  <c r="AS194" i="6"/>
  <c r="AT194" i="6"/>
  <c r="AU194" i="6"/>
  <c r="AX194" i="6"/>
  <c r="AI194" i="6"/>
  <c r="BB194" i="6"/>
  <c r="AL194" i="6"/>
  <c r="AN9" i="6"/>
  <c r="AS189" i="6"/>
  <c r="AK96" i="6"/>
  <c r="AJ144" i="6"/>
  <c r="BG123" i="6"/>
  <c r="AR204" i="6"/>
  <c r="AV48" i="6"/>
  <c r="AJ43" i="6"/>
  <c r="BC77" i="6"/>
  <c r="AV89" i="6"/>
  <c r="AS2" i="6"/>
  <c r="BH85" i="6"/>
  <c r="AN45" i="6"/>
  <c r="BE143" i="6"/>
  <c r="AT5" i="6"/>
  <c r="BB35" i="6"/>
  <c r="AN159" i="6"/>
  <c r="AX195" i="6"/>
  <c r="BF42" i="6"/>
  <c r="AS135" i="6"/>
  <c r="AY80" i="6"/>
  <c r="AW13" i="6"/>
  <c r="AZ88" i="6"/>
  <c r="BF54" i="6"/>
  <c r="BI59" i="6"/>
  <c r="BA121" i="6"/>
  <c r="AH105" i="6"/>
  <c r="BG98" i="6"/>
  <c r="AP23" i="6"/>
  <c r="AX61" i="6"/>
  <c r="AZ25" i="6"/>
  <c r="AK185" i="6"/>
  <c r="BA63" i="6"/>
  <c r="AJ156" i="6"/>
  <c r="AZ156" i="6"/>
  <c r="AK156" i="6"/>
  <c r="BA156" i="6"/>
  <c r="AQ156" i="6"/>
  <c r="BG156" i="6"/>
  <c r="AS156" i="6"/>
  <c r="AT156" i="6"/>
  <c r="AG156" i="6"/>
  <c r="BB156" i="6"/>
  <c r="BE156" i="6"/>
  <c r="AH156" i="6"/>
  <c r="BF156" i="6"/>
  <c r="AI156" i="6"/>
  <c r="BH156" i="6"/>
  <c r="AL156" i="6"/>
  <c r="BI156" i="6"/>
  <c r="AM156" i="6"/>
  <c r="BJ156" i="6"/>
  <c r="AN156" i="6"/>
  <c r="AO156" i="6"/>
  <c r="AP156" i="6"/>
  <c r="AR156" i="6"/>
  <c r="AG163" i="6"/>
  <c r="AW163" i="6"/>
  <c r="AH163" i="6"/>
  <c r="AX163" i="6"/>
  <c r="AN163" i="6"/>
  <c r="BD163" i="6"/>
  <c r="AL163" i="6"/>
  <c r="BF163" i="6"/>
  <c r="AM163" i="6"/>
  <c r="BG163" i="6"/>
  <c r="AO163" i="6"/>
  <c r="BH163" i="6"/>
  <c r="AP163" i="6"/>
  <c r="BI163" i="6"/>
  <c r="AT163" i="6"/>
  <c r="AY173" i="6"/>
  <c r="AN72" i="6"/>
  <c r="BD72" i="6"/>
  <c r="AO72" i="6"/>
  <c r="BE72" i="6"/>
  <c r="AU72" i="6"/>
  <c r="AQ72" i="6"/>
  <c r="BJ72" i="6"/>
  <c r="AR72" i="6"/>
  <c r="AS72" i="6"/>
  <c r="AY72" i="6"/>
  <c r="AH72" i="6"/>
  <c r="BG72" i="6"/>
  <c r="AI72" i="6"/>
  <c r="BH72" i="6"/>
  <c r="AJ72" i="6"/>
  <c r="BI72" i="6"/>
  <c r="AK72" i="6"/>
  <c r="AL72" i="6"/>
  <c r="AM72" i="6"/>
  <c r="AP72" i="6"/>
  <c r="AT72" i="6"/>
  <c r="AV72" i="6"/>
  <c r="AR117" i="6"/>
  <c r="BH117" i="6"/>
  <c r="AS117" i="6"/>
  <c r="BI117" i="6"/>
  <c r="AI117" i="6"/>
  <c r="AY117" i="6"/>
  <c r="AL117" i="6"/>
  <c r="BE117" i="6"/>
  <c r="AM117" i="6"/>
  <c r="BF117" i="6"/>
  <c r="AN117" i="6"/>
  <c r="BG117" i="6"/>
  <c r="AU117" i="6"/>
  <c r="AK117" i="6"/>
  <c r="AO117" i="6"/>
  <c r="AP117" i="6"/>
  <c r="AQ117" i="6"/>
  <c r="AT117" i="6"/>
  <c r="AV117" i="6"/>
  <c r="AW117" i="6"/>
  <c r="AX117" i="6"/>
  <c r="AZ117" i="6"/>
  <c r="BE204" i="6"/>
  <c r="AP78" i="6"/>
  <c r="AX164" i="6"/>
  <c r="AK190" i="6"/>
  <c r="BA190" i="6"/>
  <c r="AL190" i="6"/>
  <c r="BB190" i="6"/>
  <c r="AR190" i="6"/>
  <c r="BH190" i="6"/>
  <c r="AO190" i="6"/>
  <c r="BI190" i="6"/>
  <c r="AP190" i="6"/>
  <c r="BJ190" i="6"/>
  <c r="AW190" i="6"/>
  <c r="BD190" i="6"/>
  <c r="AG190" i="6"/>
  <c r="BE190" i="6"/>
  <c r="AH190" i="6"/>
  <c r="BF190" i="6"/>
  <c r="AJ190" i="6"/>
  <c r="AM190" i="6"/>
  <c r="AN190" i="6"/>
  <c r="AQ190" i="6"/>
  <c r="AI190" i="6"/>
  <c r="AS190" i="6"/>
  <c r="AT190" i="6"/>
  <c r="AV190" i="6"/>
  <c r="AX190" i="6"/>
  <c r="AY190" i="6"/>
  <c r="AZ190" i="6"/>
  <c r="BC190" i="6"/>
  <c r="BG190" i="6"/>
  <c r="BC156" i="6"/>
  <c r="BG197" i="6"/>
  <c r="AU9" i="6"/>
  <c r="AM113" i="6"/>
  <c r="BC113" i="6"/>
  <c r="AN113" i="6"/>
  <c r="BD113" i="6"/>
  <c r="AT113" i="6"/>
  <c r="BJ113" i="6"/>
  <c r="AL113" i="6"/>
  <c r="BG113" i="6"/>
  <c r="AO113" i="6"/>
  <c r="BH113" i="6"/>
  <c r="AV113" i="6"/>
  <c r="AG113" i="6"/>
  <c r="BE113" i="6"/>
  <c r="AH113" i="6"/>
  <c r="BF113" i="6"/>
  <c r="AR113" i="6"/>
  <c r="AZ113" i="6"/>
  <c r="BA113" i="6"/>
  <c r="BB113" i="6"/>
  <c r="BI113" i="6"/>
  <c r="AI113" i="6"/>
  <c r="AJ113" i="6"/>
  <c r="AW113" i="6"/>
  <c r="AY113" i="6"/>
  <c r="AX113" i="6"/>
  <c r="AL150" i="6"/>
  <c r="BB150" i="6"/>
  <c r="AM150" i="6"/>
  <c r="BC150" i="6"/>
  <c r="AW150" i="6"/>
  <c r="AX150" i="6"/>
  <c r="AN150" i="6"/>
  <c r="BF150" i="6"/>
  <c r="AG150" i="6"/>
  <c r="BD150" i="6"/>
  <c r="AH150" i="6"/>
  <c r="BE150" i="6"/>
  <c r="AQ150" i="6"/>
  <c r="AO150" i="6"/>
  <c r="AP150" i="6"/>
  <c r="AR150" i="6"/>
  <c r="AT150" i="6"/>
  <c r="AU150" i="6"/>
  <c r="AV150" i="6"/>
  <c r="AY150" i="6"/>
  <c r="AI150" i="6"/>
  <c r="AJ150" i="6"/>
  <c r="AK150" i="6"/>
  <c r="AS150" i="6"/>
  <c r="BG150" i="6"/>
  <c r="BH150" i="6"/>
  <c r="BI150" i="6"/>
  <c r="BJ150" i="6"/>
  <c r="AK194" i="6"/>
  <c r="AU163" i="6"/>
  <c r="AJ96" i="6"/>
  <c r="BE123" i="6"/>
  <c r="AQ204" i="6"/>
  <c r="AO48" i="6"/>
  <c r="AI43" i="6"/>
  <c r="BB77" i="6"/>
  <c r="AT89" i="6"/>
  <c r="AR2" i="6"/>
  <c r="BI106" i="6"/>
  <c r="BH47" i="6"/>
  <c r="BD143" i="6"/>
  <c r="AQ5" i="6"/>
  <c r="AL35" i="6"/>
  <c r="AM159" i="6"/>
  <c r="AV195" i="6"/>
  <c r="AO42" i="6"/>
  <c r="AR135" i="6"/>
  <c r="AH80" i="6"/>
  <c r="AU13" i="6"/>
  <c r="AW88" i="6"/>
  <c r="BA72" i="6"/>
  <c r="BE54" i="6"/>
  <c r="AU59" i="6"/>
  <c r="AZ121" i="6"/>
  <c r="BD165" i="6"/>
  <c r="AW61" i="6"/>
  <c r="AX25" i="6"/>
  <c r="AJ185" i="6"/>
  <c r="AX63" i="6"/>
  <c r="AJ73" i="6"/>
  <c r="AZ73" i="6"/>
  <c r="AK73" i="6"/>
  <c r="BA73" i="6"/>
  <c r="AN73" i="6"/>
  <c r="BF73" i="6"/>
  <c r="AO73" i="6"/>
  <c r="BG73" i="6"/>
  <c r="AU73" i="6"/>
  <c r="BB73" i="6"/>
  <c r="BC73" i="6"/>
  <c r="AG73" i="6"/>
  <c r="BD73" i="6"/>
  <c r="AH73" i="6"/>
  <c r="BE73" i="6"/>
  <c r="AI73" i="6"/>
  <c r="BH73" i="6"/>
  <c r="AL73" i="6"/>
  <c r="BI73" i="6"/>
  <c r="AP73" i="6"/>
  <c r="AM73" i="6"/>
  <c r="AQ73" i="6"/>
  <c r="AR73" i="6"/>
  <c r="AS73" i="6"/>
  <c r="AT73" i="6"/>
  <c r="AV73" i="6"/>
  <c r="AS77" i="6"/>
  <c r="AH54" i="6"/>
  <c r="AU23" i="6"/>
  <c r="AV23" i="6"/>
  <c r="AL23" i="6"/>
  <c r="BB23" i="6"/>
  <c r="AK23" i="6"/>
  <c r="BE23" i="6"/>
  <c r="AM23" i="6"/>
  <c r="BF23" i="6"/>
  <c r="AS23" i="6"/>
  <c r="AH23" i="6"/>
  <c r="BG23" i="6"/>
  <c r="AI23" i="6"/>
  <c r="BH23" i="6"/>
  <c r="AR23" i="6"/>
  <c r="AZ23" i="6"/>
  <c r="BA23" i="6"/>
  <c r="BC23" i="6"/>
  <c r="BD23" i="6"/>
  <c r="BI23" i="6"/>
  <c r="BJ23" i="6"/>
  <c r="AG23" i="6"/>
  <c r="AJ23" i="6"/>
  <c r="AW23" i="6"/>
  <c r="AX23" i="6"/>
  <c r="AY23" i="6"/>
  <c r="AP30" i="6"/>
  <c r="BF30" i="6"/>
  <c r="AQ30" i="6"/>
  <c r="BG30" i="6"/>
  <c r="AG30" i="6"/>
  <c r="AW30" i="6"/>
  <c r="AH30" i="6"/>
  <c r="BA30" i="6"/>
  <c r="AI30" i="6"/>
  <c r="BB30" i="6"/>
  <c r="AO30" i="6"/>
  <c r="BJ30" i="6"/>
  <c r="BD30" i="6"/>
  <c r="BE30" i="6"/>
  <c r="AR30" i="6"/>
  <c r="BH30" i="6"/>
  <c r="BI30" i="6"/>
  <c r="AK30" i="6"/>
  <c r="AL30" i="6"/>
  <c r="AM30" i="6"/>
  <c r="AN30" i="6"/>
  <c r="AJ30" i="6"/>
  <c r="AS30" i="6"/>
  <c r="AT30" i="6"/>
  <c r="AU30" i="6"/>
  <c r="AV30" i="6"/>
  <c r="AX30" i="6"/>
  <c r="AY30" i="6"/>
  <c r="AZ30" i="6"/>
  <c r="AU109" i="6"/>
  <c r="AV109" i="6"/>
  <c r="AL109" i="6"/>
  <c r="BB109" i="6"/>
  <c r="AG109" i="6"/>
  <c r="AZ109" i="6"/>
  <c r="AH109" i="6"/>
  <c r="BA109" i="6"/>
  <c r="AO109" i="6"/>
  <c r="BH109" i="6"/>
  <c r="AW109" i="6"/>
  <c r="AX109" i="6"/>
  <c r="AY109" i="6"/>
  <c r="BD109" i="6"/>
  <c r="BE109" i="6"/>
  <c r="AI109" i="6"/>
  <c r="BF109" i="6"/>
  <c r="AJ109" i="6"/>
  <c r="BG109" i="6"/>
  <c r="AK109" i="6"/>
  <c r="AM109" i="6"/>
  <c r="AN109" i="6"/>
  <c r="AP109" i="6"/>
  <c r="AQ109" i="6"/>
  <c r="AR109" i="6"/>
  <c r="AT109" i="6"/>
  <c r="BC109" i="6"/>
  <c r="BI109" i="6"/>
  <c r="BJ109" i="6"/>
  <c r="AI128" i="6"/>
  <c r="AY128" i="6"/>
  <c r="AJ128" i="6"/>
  <c r="AZ128" i="6"/>
  <c r="AP128" i="6"/>
  <c r="BF128" i="6"/>
  <c r="AX128" i="6"/>
  <c r="BA128" i="6"/>
  <c r="AN128" i="6"/>
  <c r="BH128" i="6"/>
  <c r="AL128" i="6"/>
  <c r="BJ128" i="6"/>
  <c r="AM128" i="6"/>
  <c r="AO128" i="6"/>
  <c r="AR128" i="6"/>
  <c r="AS128" i="6"/>
  <c r="AT128" i="6"/>
  <c r="AU128" i="6"/>
  <c r="BC128" i="6"/>
  <c r="BD128" i="6"/>
  <c r="BE128" i="6"/>
  <c r="BG128" i="6"/>
  <c r="BI128" i="6"/>
  <c r="AG128" i="6"/>
  <c r="AS96" i="6"/>
  <c r="AY156" i="6"/>
  <c r="AO172" i="6"/>
  <c r="BE172" i="6"/>
  <c r="AP172" i="6"/>
  <c r="BF172" i="6"/>
  <c r="AV172" i="6"/>
  <c r="AG172" i="6"/>
  <c r="AZ172" i="6"/>
  <c r="AH172" i="6"/>
  <c r="BA172" i="6"/>
  <c r="AN172" i="6"/>
  <c r="BI172" i="6"/>
  <c r="AW172" i="6"/>
  <c r="AX172" i="6"/>
  <c r="AJ172" i="6"/>
  <c r="BH172" i="6"/>
  <c r="BC172" i="6"/>
  <c r="BD172" i="6"/>
  <c r="BG172" i="6"/>
  <c r="BJ172" i="6"/>
  <c r="AI172" i="6"/>
  <c r="AK172" i="6"/>
  <c r="AL172" i="6"/>
  <c r="AQ172" i="6"/>
  <c r="AR172" i="6"/>
  <c r="AS172" i="6"/>
  <c r="AT172" i="6"/>
  <c r="AU172" i="6"/>
  <c r="AY172" i="6"/>
  <c r="BB172" i="6"/>
  <c r="AP151" i="6"/>
  <c r="BF151" i="6"/>
  <c r="AQ151" i="6"/>
  <c r="BG151" i="6"/>
  <c r="AG151" i="6"/>
  <c r="AW151" i="6"/>
  <c r="AJ151" i="6"/>
  <c r="BC151" i="6"/>
  <c r="AK151" i="6"/>
  <c r="BD151" i="6"/>
  <c r="AS151" i="6"/>
  <c r="BE151" i="6"/>
  <c r="AH151" i="6"/>
  <c r="BH151" i="6"/>
  <c r="AI151" i="6"/>
  <c r="BI151" i="6"/>
  <c r="AL151" i="6"/>
  <c r="BJ151" i="6"/>
  <c r="AM151" i="6"/>
  <c r="AN151" i="6"/>
  <c r="AO151" i="6"/>
  <c r="AR151" i="6"/>
  <c r="AT151" i="6"/>
  <c r="AU151" i="6"/>
  <c r="AV151" i="6"/>
  <c r="AX151" i="6"/>
  <c r="AP161" i="6"/>
  <c r="BF161" i="6"/>
  <c r="AQ161" i="6"/>
  <c r="BG161" i="6"/>
  <c r="AU161" i="6"/>
  <c r="AV161" i="6"/>
  <c r="AJ161" i="6"/>
  <c r="BB161" i="6"/>
  <c r="AG161" i="6"/>
  <c r="BC161" i="6"/>
  <c r="AH161" i="6"/>
  <c r="BD161" i="6"/>
  <c r="AO161" i="6"/>
  <c r="AZ161" i="6"/>
  <c r="BA161" i="6"/>
  <c r="BE161" i="6"/>
  <c r="BI161" i="6"/>
  <c r="AI161" i="6"/>
  <c r="BJ161" i="6"/>
  <c r="AK161" i="6"/>
  <c r="AL161" i="6"/>
  <c r="AY161" i="6"/>
  <c r="BH161" i="6"/>
  <c r="AS161" i="6"/>
  <c r="AT161" i="6"/>
  <c r="AW161" i="6"/>
  <c r="AX161" i="6"/>
  <c r="AM176" i="6"/>
  <c r="BC176" i="6"/>
  <c r="AN176" i="6"/>
  <c r="BD176" i="6"/>
  <c r="AT176" i="6"/>
  <c r="BJ176" i="6"/>
  <c r="AU176" i="6"/>
  <c r="AV176" i="6"/>
  <c r="AW176" i="6"/>
  <c r="AX176" i="6"/>
  <c r="AI176" i="6"/>
  <c r="BB176" i="6"/>
  <c r="AR29" i="6"/>
  <c r="BH29" i="6"/>
  <c r="AS29" i="6"/>
  <c r="BI29" i="6"/>
  <c r="AI29" i="6"/>
  <c r="AY29" i="6"/>
  <c r="AP29" i="6"/>
  <c r="AQ29" i="6"/>
  <c r="AZ29" i="6"/>
  <c r="AH29" i="6"/>
  <c r="BE29" i="6"/>
  <c r="AJ29" i="6"/>
  <c r="BF29" i="6"/>
  <c r="AK29" i="6"/>
  <c r="BG29" i="6"/>
  <c r="AL29" i="6"/>
  <c r="BJ29" i="6"/>
  <c r="AM29" i="6"/>
  <c r="AN29" i="6"/>
  <c r="AT29" i="6"/>
  <c r="AV167" i="6"/>
  <c r="AG167" i="6"/>
  <c r="AW167" i="6"/>
  <c r="AM167" i="6"/>
  <c r="BC167" i="6"/>
  <c r="AL167" i="6"/>
  <c r="BF167" i="6"/>
  <c r="AN167" i="6"/>
  <c r="BG167" i="6"/>
  <c r="AT167" i="6"/>
  <c r="AX167" i="6"/>
  <c r="AY167" i="6"/>
  <c r="AZ167" i="6"/>
  <c r="BA167" i="6"/>
  <c r="AI167" i="6"/>
  <c r="BH167" i="6"/>
  <c r="AK141" i="6"/>
  <c r="BA141" i="6"/>
  <c r="AL141" i="6"/>
  <c r="BB141" i="6"/>
  <c r="AR141" i="6"/>
  <c r="BH141" i="6"/>
  <c r="AG141" i="6"/>
  <c r="AZ141" i="6"/>
  <c r="AH141" i="6"/>
  <c r="BC141" i="6"/>
  <c r="AP141" i="6"/>
  <c r="BJ141" i="6"/>
  <c r="AJ141" i="6"/>
  <c r="BI141" i="6"/>
  <c r="AM141" i="6"/>
  <c r="AU141" i="6"/>
  <c r="BD141" i="6"/>
  <c r="BE141" i="6"/>
  <c r="BF141" i="6"/>
  <c r="BG141" i="6"/>
  <c r="AI141" i="6"/>
  <c r="AN141" i="6"/>
  <c r="AQ141" i="6"/>
  <c r="AS141" i="6"/>
  <c r="AT141" i="6"/>
  <c r="AV141" i="6"/>
  <c r="AW141" i="6"/>
  <c r="AX141" i="6"/>
  <c r="AY141" i="6"/>
  <c r="AR19" i="6"/>
  <c r="BH19" i="6"/>
  <c r="AS19" i="6"/>
  <c r="BI19" i="6"/>
  <c r="AI19" i="6"/>
  <c r="AY19" i="6"/>
  <c r="AU19" i="6"/>
  <c r="AV19" i="6"/>
  <c r="AJ19" i="6"/>
  <c r="BC19" i="6"/>
  <c r="BD19" i="6"/>
  <c r="AG19" i="6"/>
  <c r="BE19" i="6"/>
  <c r="AH19" i="6"/>
  <c r="BF19" i="6"/>
  <c r="AK19" i="6"/>
  <c r="BG19" i="6"/>
  <c r="AL19" i="6"/>
  <c r="BJ19" i="6"/>
  <c r="AM19" i="6"/>
  <c r="AN19" i="6"/>
  <c r="AO19" i="6"/>
  <c r="AP19" i="6"/>
  <c r="AG181" i="6"/>
  <c r="AW181" i="6"/>
  <c r="AH181" i="6"/>
  <c r="AX181" i="6"/>
  <c r="AN181" i="6"/>
  <c r="BD181" i="6"/>
  <c r="AI181" i="6"/>
  <c r="BB181" i="6"/>
  <c r="AJ181" i="6"/>
  <c r="BC181" i="6"/>
  <c r="AQ181" i="6"/>
  <c r="BJ181" i="6"/>
  <c r="AU181" i="6"/>
  <c r="AV181" i="6"/>
  <c r="BG181" i="6"/>
  <c r="BE181" i="6"/>
  <c r="BF181" i="6"/>
  <c r="BH181" i="6"/>
  <c r="BI181" i="6"/>
  <c r="AK181" i="6"/>
  <c r="AL181" i="6"/>
  <c r="AM181" i="6"/>
  <c r="AP181" i="6"/>
  <c r="AR181" i="6"/>
  <c r="AS181" i="6"/>
  <c r="AT181" i="6"/>
  <c r="AY181" i="6"/>
  <c r="AZ181" i="6"/>
  <c r="BA181" i="6"/>
  <c r="AG3" i="6"/>
  <c r="AW3" i="6"/>
  <c r="AH3" i="6"/>
  <c r="AX3" i="6"/>
  <c r="AN3" i="6"/>
  <c r="BD3" i="6"/>
  <c r="AT3" i="6"/>
  <c r="AU3" i="6"/>
  <c r="AJ3" i="6"/>
  <c r="BC3" i="6"/>
  <c r="BA3" i="6"/>
  <c r="BB3" i="6"/>
  <c r="AM3" i="6"/>
  <c r="BJ3" i="6"/>
  <c r="AZ3" i="6"/>
  <c r="BE3" i="6"/>
  <c r="BF3" i="6"/>
  <c r="BG3" i="6"/>
  <c r="BH3" i="6"/>
  <c r="BI3" i="6"/>
  <c r="AI3" i="6"/>
  <c r="AK3" i="6"/>
  <c r="AL3" i="6"/>
  <c r="AO3" i="6"/>
  <c r="AP3" i="6"/>
  <c r="AQ3" i="6"/>
  <c r="AR3" i="6"/>
  <c r="AS3" i="6"/>
  <c r="AS39" i="6"/>
  <c r="BI39" i="6"/>
  <c r="AT39" i="6"/>
  <c r="BJ39" i="6"/>
  <c r="AJ39" i="6"/>
  <c r="AZ39" i="6"/>
  <c r="AV39" i="6"/>
  <c r="AW39" i="6"/>
  <c r="AK39" i="6"/>
  <c r="BD39" i="6"/>
  <c r="AN39" i="6"/>
  <c r="AO39" i="6"/>
  <c r="AY39" i="6"/>
  <c r="BB39" i="6"/>
  <c r="BC39" i="6"/>
  <c r="BE39" i="6"/>
  <c r="BF39" i="6"/>
  <c r="BG39" i="6"/>
  <c r="AG39" i="6"/>
  <c r="BH39" i="6"/>
  <c r="AH39" i="6"/>
  <c r="AI39" i="6"/>
  <c r="AL39" i="6"/>
  <c r="AM39" i="6"/>
  <c r="AP39" i="6"/>
  <c r="AQ39" i="6"/>
  <c r="AR39" i="6"/>
  <c r="AU39" i="6"/>
  <c r="AH62" i="6"/>
  <c r="AX62" i="6"/>
  <c r="AG62" i="6"/>
  <c r="AY62" i="6"/>
  <c r="AI62" i="6"/>
  <c r="AZ62" i="6"/>
  <c r="AO62" i="6"/>
  <c r="BF62" i="6"/>
  <c r="AS62" i="6"/>
  <c r="AT62" i="6"/>
  <c r="BC62" i="6"/>
  <c r="AV62" i="6"/>
  <c r="AW62" i="6"/>
  <c r="BA62" i="6"/>
  <c r="BB62" i="6"/>
  <c r="BD62" i="6"/>
  <c r="BE62" i="6"/>
  <c r="BG62" i="6"/>
  <c r="AJ62" i="6"/>
  <c r="BH62" i="6"/>
  <c r="AK62" i="6"/>
  <c r="AL62" i="6"/>
  <c r="AM62" i="6"/>
  <c r="AN62" i="6"/>
  <c r="AV94" i="6"/>
  <c r="AG94" i="6"/>
  <c r="AW94" i="6"/>
  <c r="AM94" i="6"/>
  <c r="BC94" i="6"/>
  <c r="AP94" i="6"/>
  <c r="BI94" i="6"/>
  <c r="AQ94" i="6"/>
  <c r="BJ94" i="6"/>
  <c r="AY94" i="6"/>
  <c r="AL94" i="6"/>
  <c r="AN94" i="6"/>
  <c r="AX94" i="6"/>
  <c r="BE94" i="6"/>
  <c r="BF94" i="6"/>
  <c r="BG94" i="6"/>
  <c r="AI94" i="6"/>
  <c r="AJ94" i="6"/>
  <c r="AK94" i="6"/>
  <c r="AO94" i="6"/>
  <c r="AZ94" i="6"/>
  <c r="BA94" i="6"/>
  <c r="BB94" i="6"/>
  <c r="BD94" i="6"/>
  <c r="BH94" i="6"/>
  <c r="AH94" i="6"/>
  <c r="AR94" i="6"/>
  <c r="AK60" i="6"/>
  <c r="BA60" i="6"/>
  <c r="AU60" i="6"/>
  <c r="AV60" i="6"/>
  <c r="AT60" i="6"/>
  <c r="AW60" i="6"/>
  <c r="AJ60" i="6"/>
  <c r="BD60" i="6"/>
  <c r="AH60" i="6"/>
  <c r="BF60" i="6"/>
  <c r="AI60" i="6"/>
  <c r="BG60" i="6"/>
  <c r="AQ60" i="6"/>
  <c r="AY60" i="6"/>
  <c r="AZ60" i="6"/>
  <c r="AG60" i="6"/>
  <c r="BJ60" i="6"/>
  <c r="BH60" i="6"/>
  <c r="BI60" i="6"/>
  <c r="AL60" i="6"/>
  <c r="AM60" i="6"/>
  <c r="AN60" i="6"/>
  <c r="AO60" i="6"/>
  <c r="AP60" i="6"/>
  <c r="AR60" i="6"/>
  <c r="AS60" i="6"/>
  <c r="AX60" i="6"/>
  <c r="BB60" i="6"/>
  <c r="BC60" i="6"/>
  <c r="BE60" i="6"/>
  <c r="AK134" i="6"/>
  <c r="BA134" i="6"/>
  <c r="AN134" i="6"/>
  <c r="BD134" i="6"/>
  <c r="AG134" i="6"/>
  <c r="AY134" i="6"/>
  <c r="AH134" i="6"/>
  <c r="AZ134" i="6"/>
  <c r="AM134" i="6"/>
  <c r="BH134" i="6"/>
  <c r="AO134" i="6"/>
  <c r="BI134" i="6"/>
  <c r="AU134" i="6"/>
  <c r="AR134" i="6"/>
  <c r="AS134" i="6"/>
  <c r="BC134" i="6"/>
  <c r="AL134" i="6"/>
  <c r="AP134" i="6"/>
  <c r="BB134" i="6"/>
  <c r="AI134" i="6"/>
  <c r="AJ134" i="6"/>
  <c r="AQ134" i="6"/>
  <c r="AT134" i="6"/>
  <c r="AV134" i="6"/>
  <c r="AW134" i="6"/>
  <c r="AX134" i="6"/>
  <c r="BE134" i="6"/>
  <c r="BF134" i="6"/>
  <c r="BG134" i="6"/>
  <c r="BJ134" i="6"/>
  <c r="BI194" i="6"/>
  <c r="AJ194" i="6"/>
  <c r="AK162" i="6"/>
  <c r="AI102" i="6"/>
  <c r="AL176" i="6"/>
  <c r="AS163" i="6"/>
  <c r="BJ96" i="6"/>
  <c r="AH144" i="6"/>
  <c r="BD123" i="6"/>
  <c r="AP204" i="6"/>
  <c r="AN48" i="6"/>
  <c r="AO149" i="6"/>
  <c r="AP11" i="6"/>
  <c r="AM89" i="6"/>
  <c r="AQ2" i="6"/>
  <c r="AW47" i="6"/>
  <c r="BF85" i="6"/>
  <c r="BA19" i="6"/>
  <c r="AO143" i="6"/>
  <c r="AP5" i="6"/>
  <c r="AL159" i="6"/>
  <c r="AN42" i="6"/>
  <c r="AQ135" i="6"/>
  <c r="AT13" i="6"/>
  <c r="AZ72" i="6"/>
  <c r="AQ59" i="6"/>
  <c r="BJ192" i="6"/>
  <c r="BC165" i="6"/>
  <c r="AL17" i="6"/>
  <c r="AN23" i="6"/>
  <c r="AW25" i="6"/>
  <c r="AH185" i="6"/>
  <c r="AR125" i="6"/>
  <c r="AW63" i="6"/>
  <c r="AR161" i="6"/>
  <c r="AZ28" i="6"/>
  <c r="AJ77" i="6"/>
  <c r="AZ77" i="6"/>
  <c r="AK77" i="6"/>
  <c r="BA77" i="6"/>
  <c r="AQ77" i="6"/>
  <c r="BG77" i="6"/>
  <c r="AO77" i="6"/>
  <c r="BI77" i="6"/>
  <c r="AP77" i="6"/>
  <c r="BJ77" i="6"/>
  <c r="AW77" i="6"/>
  <c r="AH77" i="6"/>
  <c r="BF77" i="6"/>
  <c r="AI77" i="6"/>
  <c r="BH77" i="6"/>
  <c r="AL77" i="6"/>
  <c r="AM77" i="6"/>
  <c r="AR77" i="6"/>
  <c r="AT77" i="6"/>
  <c r="AM136" i="6"/>
  <c r="BC136" i="6"/>
  <c r="AN136" i="6"/>
  <c r="BD136" i="6"/>
  <c r="AT136" i="6"/>
  <c r="BJ136" i="6"/>
  <c r="AX136" i="6"/>
  <c r="AY136" i="6"/>
  <c r="AL136" i="6"/>
  <c r="BG136" i="6"/>
  <c r="AW136" i="6"/>
  <c r="AZ136" i="6"/>
  <c r="BA136" i="6"/>
  <c r="AG136" i="6"/>
  <c r="BE136" i="6"/>
  <c r="AH136" i="6"/>
  <c r="BF136" i="6"/>
  <c r="AI136" i="6"/>
  <c r="BH136" i="6"/>
  <c r="AJ136" i="6"/>
  <c r="BI136" i="6"/>
  <c r="AO136" i="6"/>
  <c r="AP136" i="6"/>
  <c r="AQ136" i="6"/>
  <c r="AR136" i="6"/>
  <c r="AS136" i="6"/>
  <c r="AU136" i="6"/>
  <c r="AV136" i="6"/>
  <c r="BB136" i="6"/>
  <c r="AK136" i="6"/>
  <c r="BJ73" i="6"/>
  <c r="AH100" i="6"/>
  <c r="AX100" i="6"/>
  <c r="AI100" i="6"/>
  <c r="AY100" i="6"/>
  <c r="AO100" i="6"/>
  <c r="BE100" i="6"/>
  <c r="AZ100" i="6"/>
  <c r="BA100" i="6"/>
  <c r="AN100" i="6"/>
  <c r="BH100" i="6"/>
  <c r="AG100" i="6"/>
  <c r="BF100" i="6"/>
  <c r="AJ100" i="6"/>
  <c r="BG100" i="6"/>
  <c r="AR100" i="6"/>
  <c r="BD100" i="6"/>
  <c r="BI100" i="6"/>
  <c r="BJ100" i="6"/>
  <c r="AK100" i="6"/>
  <c r="AL100" i="6"/>
  <c r="AM100" i="6"/>
  <c r="AP100" i="6"/>
  <c r="AQ100" i="6"/>
  <c r="AS100" i="6"/>
  <c r="AT100" i="6"/>
  <c r="BC100" i="6"/>
  <c r="AK85" i="6"/>
  <c r="AR123" i="6"/>
  <c r="AT78" i="6"/>
  <c r="BF115" i="6"/>
  <c r="AX73" i="6"/>
  <c r="AQ96" i="6"/>
  <c r="BG96" i="6"/>
  <c r="AR96" i="6"/>
  <c r="BH96" i="6"/>
  <c r="AH96" i="6"/>
  <c r="AX96" i="6"/>
  <c r="AW96" i="6"/>
  <c r="AY96" i="6"/>
  <c r="AZ96" i="6"/>
  <c r="AG96" i="6"/>
  <c r="BA96" i="6"/>
  <c r="AL96" i="6"/>
  <c r="BE96" i="6"/>
  <c r="AI61" i="6"/>
  <c r="AY61" i="6"/>
  <c r="AJ61" i="6"/>
  <c r="AZ61" i="6"/>
  <c r="AP61" i="6"/>
  <c r="BF61" i="6"/>
  <c r="AN61" i="6"/>
  <c r="BH61" i="6"/>
  <c r="AO61" i="6"/>
  <c r="BI61" i="6"/>
  <c r="AV61" i="6"/>
  <c r="AS61" i="6"/>
  <c r="AT61" i="6"/>
  <c r="BC61" i="6"/>
  <c r="BB61" i="6"/>
  <c r="BD61" i="6"/>
  <c r="BE61" i="6"/>
  <c r="BG61" i="6"/>
  <c r="BJ61" i="6"/>
  <c r="AG61" i="6"/>
  <c r="AH61" i="6"/>
  <c r="AK61" i="6"/>
  <c r="AL61" i="6"/>
  <c r="AM61" i="6"/>
  <c r="AQ61" i="6"/>
  <c r="AR61" i="6"/>
  <c r="AH64" i="6"/>
  <c r="AX64" i="6"/>
  <c r="AI64" i="6"/>
  <c r="AY64" i="6"/>
  <c r="AO64" i="6"/>
  <c r="BE64" i="6"/>
  <c r="AG64" i="6"/>
  <c r="BB64" i="6"/>
  <c r="AJ64" i="6"/>
  <c r="BC64" i="6"/>
  <c r="AQ64" i="6"/>
  <c r="BJ64" i="6"/>
  <c r="BG64" i="6"/>
  <c r="AK64" i="6"/>
  <c r="BH64" i="6"/>
  <c r="AL64" i="6"/>
  <c r="BI64" i="6"/>
  <c r="AM64" i="6"/>
  <c r="AN64" i="6"/>
  <c r="AP64" i="6"/>
  <c r="AR64" i="6"/>
  <c r="AS64" i="6"/>
  <c r="AT64" i="6"/>
  <c r="AU64" i="6"/>
  <c r="AV64" i="6"/>
  <c r="AW64" i="6"/>
  <c r="AM137" i="6"/>
  <c r="BC137" i="6"/>
  <c r="AP137" i="6"/>
  <c r="BF137" i="6"/>
  <c r="AQ137" i="6"/>
  <c r="BI137" i="6"/>
  <c r="AR137" i="6"/>
  <c r="BJ137" i="6"/>
  <c r="AL137" i="6"/>
  <c r="BH137" i="6"/>
  <c r="AN137" i="6"/>
  <c r="AW137" i="6"/>
  <c r="AV137" i="6"/>
  <c r="AX137" i="6"/>
  <c r="AG137" i="6"/>
  <c r="BE137" i="6"/>
  <c r="BG137" i="6"/>
  <c r="AO137" i="6"/>
  <c r="AT137" i="6"/>
  <c r="AU137" i="6"/>
  <c r="AY137" i="6"/>
  <c r="AZ137" i="6"/>
  <c r="BA137" i="6"/>
  <c r="BB137" i="6"/>
  <c r="BD137" i="6"/>
  <c r="AH137" i="6"/>
  <c r="AI137" i="6"/>
  <c r="AJ137" i="6"/>
  <c r="AK137" i="6"/>
  <c r="AS137" i="6"/>
  <c r="AH173" i="6"/>
  <c r="AL170" i="6"/>
  <c r="AW100" i="6"/>
  <c r="AK189" i="6"/>
  <c r="BA189" i="6"/>
  <c r="AL189" i="6"/>
  <c r="BB189" i="6"/>
  <c r="AR189" i="6"/>
  <c r="BH189" i="6"/>
  <c r="AJ189" i="6"/>
  <c r="BE189" i="6"/>
  <c r="AM189" i="6"/>
  <c r="BF189" i="6"/>
  <c r="AN189" i="6"/>
  <c r="BG189" i="6"/>
  <c r="AO189" i="6"/>
  <c r="BI189" i="6"/>
  <c r="AT189" i="6"/>
  <c r="AR88" i="6"/>
  <c r="BH88" i="6"/>
  <c r="AS88" i="6"/>
  <c r="BI88" i="6"/>
  <c r="AI88" i="6"/>
  <c r="AY88" i="6"/>
  <c r="AO88" i="6"/>
  <c r="BJ88" i="6"/>
  <c r="AP88" i="6"/>
  <c r="AQ88" i="6"/>
  <c r="AX88" i="6"/>
  <c r="BA88" i="6"/>
  <c r="BB88" i="6"/>
  <c r="BC88" i="6"/>
  <c r="BD88" i="6"/>
  <c r="AG88" i="6"/>
  <c r="BE88" i="6"/>
  <c r="AH88" i="6"/>
  <c r="BF88" i="6"/>
  <c r="AJ88" i="6"/>
  <c r="BG88" i="6"/>
  <c r="AK88" i="6"/>
  <c r="AL88" i="6"/>
  <c r="BF64" i="6"/>
  <c r="AK170" i="6"/>
  <c r="AV100" i="6"/>
  <c r="AX204" i="6"/>
  <c r="AN78" i="6"/>
  <c r="AN35" i="6"/>
  <c r="BD35" i="6"/>
  <c r="AO35" i="6"/>
  <c r="BE35" i="6"/>
  <c r="AU35" i="6"/>
  <c r="AY35" i="6"/>
  <c r="AG35" i="6"/>
  <c r="AZ35" i="6"/>
  <c r="AM35" i="6"/>
  <c r="BH35" i="6"/>
  <c r="AP35" i="6"/>
  <c r="AQ35" i="6"/>
  <c r="AR35" i="6"/>
  <c r="AS35" i="6"/>
  <c r="AT35" i="6"/>
  <c r="AV35" i="6"/>
  <c r="AW35" i="6"/>
  <c r="AX35" i="6"/>
  <c r="BA35" i="6"/>
  <c r="AL107" i="6"/>
  <c r="BB107" i="6"/>
  <c r="AM107" i="6"/>
  <c r="BC107" i="6"/>
  <c r="AS107" i="6"/>
  <c r="BI107" i="6"/>
  <c r="AX107" i="6"/>
  <c r="AY107" i="6"/>
  <c r="AN107" i="6"/>
  <c r="BG107" i="6"/>
  <c r="AT107" i="6"/>
  <c r="AU107" i="6"/>
  <c r="AG107" i="6"/>
  <c r="BE107" i="6"/>
  <c r="BF107" i="6"/>
  <c r="BH107" i="6"/>
  <c r="BJ107" i="6"/>
  <c r="AI107" i="6"/>
  <c r="AJ107" i="6"/>
  <c r="AK107" i="6"/>
  <c r="AO107" i="6"/>
  <c r="AH107" i="6"/>
  <c r="AP107" i="6"/>
  <c r="AQ107" i="6"/>
  <c r="AR107" i="6"/>
  <c r="AV107" i="6"/>
  <c r="AW107" i="6"/>
  <c r="AZ107" i="6"/>
  <c r="AS55" i="6"/>
  <c r="BI55" i="6"/>
  <c r="AT55" i="6"/>
  <c r="BJ55" i="6"/>
  <c r="AJ55" i="6"/>
  <c r="AZ55" i="6"/>
  <c r="AI55" i="6"/>
  <c r="BC55" i="6"/>
  <c r="AK55" i="6"/>
  <c r="BD55" i="6"/>
  <c r="AQ55" i="6"/>
  <c r="AH55" i="6"/>
  <c r="BG55" i="6"/>
  <c r="AL55" i="6"/>
  <c r="BH55" i="6"/>
  <c r="AM55" i="6"/>
  <c r="AU55" i="6"/>
  <c r="AY55" i="6"/>
  <c r="BA55" i="6"/>
  <c r="BB55" i="6"/>
  <c r="BE55" i="6"/>
  <c r="BF55" i="6"/>
  <c r="AN55" i="6"/>
  <c r="AO55" i="6"/>
  <c r="AP55" i="6"/>
  <c r="AR55" i="6"/>
  <c r="AV55" i="6"/>
  <c r="AW55" i="6"/>
  <c r="AX55" i="6"/>
  <c r="AP195" i="6"/>
  <c r="BF195" i="6"/>
  <c r="AQ195" i="6"/>
  <c r="BG195" i="6"/>
  <c r="AG195" i="6"/>
  <c r="AW195" i="6"/>
  <c r="AS195" i="6"/>
  <c r="AT195" i="6"/>
  <c r="AH195" i="6"/>
  <c r="BA195" i="6"/>
  <c r="BD195" i="6"/>
  <c r="AI195" i="6"/>
  <c r="BE195" i="6"/>
  <c r="AJ195" i="6"/>
  <c r="BH195" i="6"/>
  <c r="AK195" i="6"/>
  <c r="BI195" i="6"/>
  <c r="AL195" i="6"/>
  <c r="BJ195" i="6"/>
  <c r="AM195" i="6"/>
  <c r="AN195" i="6"/>
  <c r="AO195" i="6"/>
  <c r="AR195" i="6"/>
  <c r="AH118" i="6"/>
  <c r="AX118" i="6"/>
  <c r="AI118" i="6"/>
  <c r="AY118" i="6"/>
  <c r="AO118" i="6"/>
  <c r="BE118" i="6"/>
  <c r="AG118" i="6"/>
  <c r="BB118" i="6"/>
  <c r="AJ118" i="6"/>
  <c r="BC118" i="6"/>
  <c r="AK118" i="6"/>
  <c r="BD118" i="6"/>
  <c r="AQ118" i="6"/>
  <c r="BJ118" i="6"/>
  <c r="AS118" i="6"/>
  <c r="AT118" i="6"/>
  <c r="AU118" i="6"/>
  <c r="AV118" i="6"/>
  <c r="AW118" i="6"/>
  <c r="AZ118" i="6"/>
  <c r="BA118" i="6"/>
  <c r="BF118" i="6"/>
  <c r="BG118" i="6"/>
  <c r="AR121" i="6"/>
  <c r="BH121" i="6"/>
  <c r="AS121" i="6"/>
  <c r="BI121" i="6"/>
  <c r="AI121" i="6"/>
  <c r="AY121" i="6"/>
  <c r="AT121" i="6"/>
  <c r="AU121" i="6"/>
  <c r="AV121" i="6"/>
  <c r="AH121" i="6"/>
  <c r="BB121" i="6"/>
  <c r="BD121" i="6"/>
  <c r="BE121" i="6"/>
  <c r="AG121" i="6"/>
  <c r="BF121" i="6"/>
  <c r="AJ121" i="6"/>
  <c r="BG121" i="6"/>
  <c r="AK121" i="6"/>
  <c r="BJ121" i="6"/>
  <c r="AL121" i="6"/>
  <c r="AM121" i="6"/>
  <c r="AN121" i="6"/>
  <c r="AO121" i="6"/>
  <c r="AT65" i="6"/>
  <c r="BJ65" i="6"/>
  <c r="AU65" i="6"/>
  <c r="AK65" i="6"/>
  <c r="BA65" i="6"/>
  <c r="AG65" i="6"/>
  <c r="AZ65" i="6"/>
  <c r="AH65" i="6"/>
  <c r="BB65" i="6"/>
  <c r="AO65" i="6"/>
  <c r="BH65" i="6"/>
  <c r="AR65" i="6"/>
  <c r="AS65" i="6"/>
  <c r="BD65" i="6"/>
  <c r="BF65" i="6"/>
  <c r="BG65" i="6"/>
  <c r="BI65" i="6"/>
  <c r="AJ65" i="6"/>
  <c r="AL65" i="6"/>
  <c r="AM65" i="6"/>
  <c r="AN65" i="6"/>
  <c r="AI65" i="6"/>
  <c r="AP65" i="6"/>
  <c r="AQ65" i="6"/>
  <c r="AV65" i="6"/>
  <c r="AW65" i="6"/>
  <c r="AX65" i="6"/>
  <c r="AY65" i="6"/>
  <c r="BC65" i="6"/>
  <c r="BE65" i="6"/>
  <c r="AG194" i="6"/>
  <c r="AQ189" i="6"/>
  <c r="AI144" i="6"/>
  <c r="AT80" i="6"/>
  <c r="BJ80" i="6"/>
  <c r="AU80" i="6"/>
  <c r="AK80" i="6"/>
  <c r="BA80" i="6"/>
  <c r="AV80" i="6"/>
  <c r="AW80" i="6"/>
  <c r="AX80" i="6"/>
  <c r="AJ80" i="6"/>
  <c r="BD80" i="6"/>
  <c r="AI80" i="6"/>
  <c r="BH80" i="6"/>
  <c r="AL80" i="6"/>
  <c r="BI80" i="6"/>
  <c r="AM80" i="6"/>
  <c r="AN80" i="6"/>
  <c r="AO80" i="6"/>
  <c r="AP80" i="6"/>
  <c r="AQ80" i="6"/>
  <c r="AR80" i="6"/>
  <c r="AS80" i="6"/>
  <c r="AJ57" i="6"/>
  <c r="AZ57" i="6"/>
  <c r="AK57" i="6"/>
  <c r="BA57" i="6"/>
  <c r="AQ57" i="6"/>
  <c r="BI57" i="6"/>
  <c r="AR57" i="6"/>
  <c r="BJ57" i="6"/>
  <c r="AX57" i="6"/>
  <c r="AH57" i="6"/>
  <c r="BE57" i="6"/>
  <c r="AI57" i="6"/>
  <c r="BF57" i="6"/>
  <c r="AS57" i="6"/>
  <c r="AN57" i="6"/>
  <c r="AO57" i="6"/>
  <c r="AY57" i="6"/>
  <c r="AW57" i="6"/>
  <c r="BB57" i="6"/>
  <c r="BC57" i="6"/>
  <c r="BD57" i="6"/>
  <c r="BG57" i="6"/>
  <c r="BH57" i="6"/>
  <c r="AP57" i="6"/>
  <c r="AT57" i="6"/>
  <c r="AU57" i="6"/>
  <c r="AV57" i="6"/>
  <c r="AH194" i="6"/>
  <c r="BI96" i="6"/>
  <c r="AN204" i="6"/>
  <c r="BI177" i="6"/>
  <c r="AL89" i="6"/>
  <c r="AV47" i="6"/>
  <c r="AJ35" i="6"/>
  <c r="AJ159" i="6"/>
  <c r="AS13" i="6"/>
  <c r="AU88" i="6"/>
  <c r="AX72" i="6"/>
  <c r="AW121" i="6"/>
  <c r="AM201" i="6"/>
  <c r="AV25" i="6"/>
  <c r="AQ125" i="6"/>
  <c r="AV63" i="6"/>
  <c r="AN161" i="6"/>
  <c r="BC30" i="6"/>
  <c r="AJ54" i="6"/>
  <c r="AZ54" i="6"/>
  <c r="AK54" i="6"/>
  <c r="BA54" i="6"/>
  <c r="AQ54" i="6"/>
  <c r="BG54" i="6"/>
  <c r="AR54" i="6"/>
  <c r="AS54" i="6"/>
  <c r="AT54" i="6"/>
  <c r="AY54" i="6"/>
  <c r="AN54" i="6"/>
  <c r="AO54" i="6"/>
  <c r="AP54" i="6"/>
  <c r="AU54" i="6"/>
  <c r="AV54" i="6"/>
  <c r="AW54" i="6"/>
  <c r="AX54" i="6"/>
  <c r="BB54" i="6"/>
  <c r="BC54" i="6"/>
  <c r="AN140" i="6"/>
  <c r="BD140" i="6"/>
  <c r="AO140" i="6"/>
  <c r="BE140" i="6"/>
  <c r="AM140" i="6"/>
  <c r="BG140" i="6"/>
  <c r="AP140" i="6"/>
  <c r="BH140" i="6"/>
  <c r="AV140" i="6"/>
  <c r="AL140" i="6"/>
  <c r="AQ140" i="6"/>
  <c r="AX140" i="6"/>
  <c r="BB140" i="6"/>
  <c r="BC140" i="6"/>
  <c r="BF140" i="6"/>
  <c r="AH140" i="6"/>
  <c r="BJ140" i="6"/>
  <c r="AI140" i="6"/>
  <c r="AJ140" i="6"/>
  <c r="AK140" i="6"/>
  <c r="AR140" i="6"/>
  <c r="AS140" i="6"/>
  <c r="AT140" i="6"/>
  <c r="AU140" i="6"/>
  <c r="AW140" i="6"/>
  <c r="AY140" i="6"/>
  <c r="AZ140" i="6"/>
  <c r="BA140" i="6"/>
  <c r="AV58" i="6"/>
  <c r="AL192" i="6"/>
  <c r="BB192" i="6"/>
  <c r="AM192" i="6"/>
  <c r="BC192" i="6"/>
  <c r="AS192" i="6"/>
  <c r="BI192" i="6"/>
  <c r="AJ192" i="6"/>
  <c r="BE192" i="6"/>
  <c r="AK192" i="6"/>
  <c r="BF192" i="6"/>
  <c r="AN192" i="6"/>
  <c r="BG192" i="6"/>
  <c r="AT192" i="6"/>
  <c r="AQ192" i="6"/>
  <c r="AR192" i="6"/>
  <c r="AU192" i="6"/>
  <c r="AV192" i="6"/>
  <c r="AW192" i="6"/>
  <c r="AX192" i="6"/>
  <c r="AY192" i="6"/>
  <c r="AZ192" i="6"/>
  <c r="BA192" i="6"/>
  <c r="AN43" i="6"/>
  <c r="BD43" i="6"/>
  <c r="AO43" i="6"/>
  <c r="BE43" i="6"/>
  <c r="AU43" i="6"/>
  <c r="AM43" i="6"/>
  <c r="BH43" i="6"/>
  <c r="AP43" i="6"/>
  <c r="BI43" i="6"/>
  <c r="AW43" i="6"/>
  <c r="AV43" i="6"/>
  <c r="AX43" i="6"/>
  <c r="AY43" i="6"/>
  <c r="AZ43" i="6"/>
  <c r="BB43" i="6"/>
  <c r="AH43" i="6"/>
  <c r="BF43" i="6"/>
  <c r="AL178" i="6"/>
  <c r="BB178" i="6"/>
  <c r="AM178" i="6"/>
  <c r="BC178" i="6"/>
  <c r="AW178" i="6"/>
  <c r="AX178" i="6"/>
  <c r="AN178" i="6"/>
  <c r="BF178" i="6"/>
  <c r="AV178" i="6"/>
  <c r="AY178" i="6"/>
  <c r="AJ178" i="6"/>
  <c r="BH178" i="6"/>
  <c r="AK178" i="6"/>
  <c r="AO178" i="6"/>
  <c r="AU178" i="6"/>
  <c r="BD178" i="6"/>
  <c r="BE178" i="6"/>
  <c r="BG178" i="6"/>
  <c r="BI178" i="6"/>
  <c r="BJ178" i="6"/>
  <c r="AG178" i="6"/>
  <c r="AH178" i="6"/>
  <c r="AI178" i="6"/>
  <c r="AP178" i="6"/>
  <c r="AQ178" i="6"/>
  <c r="AR178" i="6"/>
  <c r="AS178" i="6"/>
  <c r="AT178" i="6"/>
  <c r="AZ178" i="6"/>
  <c r="BA178" i="6"/>
  <c r="AI163" i="6"/>
  <c r="AS123" i="6"/>
  <c r="BG43" i="6"/>
  <c r="AU58" i="6"/>
  <c r="BG115" i="6"/>
  <c r="AI192" i="6"/>
  <c r="AY73" i="6"/>
  <c r="BC43" i="6"/>
  <c r="AJ85" i="6"/>
  <c r="AT58" i="6"/>
  <c r="AN139" i="6"/>
  <c r="AS9" i="6"/>
  <c r="BI9" i="6"/>
  <c r="AT9" i="6"/>
  <c r="BJ9" i="6"/>
  <c r="AJ9" i="6"/>
  <c r="AZ9" i="6"/>
  <c r="AI9" i="6"/>
  <c r="BC9" i="6"/>
  <c r="AK9" i="6"/>
  <c r="BD9" i="6"/>
  <c r="AL9" i="6"/>
  <c r="BE9" i="6"/>
  <c r="AM9" i="6"/>
  <c r="BF9" i="6"/>
  <c r="AQ9" i="6"/>
  <c r="AT112" i="6"/>
  <c r="BJ112" i="6"/>
  <c r="AU112" i="6"/>
  <c r="AK112" i="6"/>
  <c r="BA112" i="6"/>
  <c r="AI112" i="6"/>
  <c r="BC112" i="6"/>
  <c r="AJ112" i="6"/>
  <c r="BD112" i="6"/>
  <c r="AL112" i="6"/>
  <c r="BE112" i="6"/>
  <c r="AQ112" i="6"/>
  <c r="AY112" i="6"/>
  <c r="AZ112" i="6"/>
  <c r="BB112" i="6"/>
  <c r="BF112" i="6"/>
  <c r="BG112" i="6"/>
  <c r="AG112" i="6"/>
  <c r="BH112" i="6"/>
  <c r="AH112" i="6"/>
  <c r="BI112" i="6"/>
  <c r="AM112" i="6"/>
  <c r="AN112" i="6"/>
  <c r="AX9" i="6"/>
  <c r="AH85" i="6"/>
  <c r="AT2" i="6"/>
  <c r="BJ2" i="6"/>
  <c r="AU2" i="6"/>
  <c r="AK2" i="6"/>
  <c r="BA2" i="6"/>
  <c r="AG2" i="6"/>
  <c r="AZ2" i="6"/>
  <c r="AH2" i="6"/>
  <c r="BB2" i="6"/>
  <c r="AO2" i="6"/>
  <c r="BH2" i="6"/>
  <c r="AY2" i="6"/>
  <c r="BC2" i="6"/>
  <c r="BD2" i="6"/>
  <c r="BE2" i="6"/>
  <c r="AJ2" i="6"/>
  <c r="BG2" i="6"/>
  <c r="AM2" i="6"/>
  <c r="AO12" i="6"/>
  <c r="BE12" i="6"/>
  <c r="AP12" i="6"/>
  <c r="BF12" i="6"/>
  <c r="AV12" i="6"/>
  <c r="AR12" i="6"/>
  <c r="AS12" i="6"/>
  <c r="AG12" i="6"/>
  <c r="AZ12" i="6"/>
  <c r="AN12" i="6"/>
  <c r="AQ12" i="6"/>
  <c r="AT12" i="6"/>
  <c r="AW12" i="6"/>
  <c r="AX12" i="6"/>
  <c r="AY12" i="6"/>
  <c r="BA12" i="6"/>
  <c r="AH12" i="6"/>
  <c r="AI12" i="6"/>
  <c r="AJ12" i="6"/>
  <c r="AK12" i="6"/>
  <c r="AL12" i="6"/>
  <c r="AM12" i="6"/>
  <c r="AU12" i="6"/>
  <c r="BB12" i="6"/>
  <c r="BG12" i="6"/>
  <c r="BH12" i="6"/>
  <c r="BI12" i="6"/>
  <c r="BJ12" i="6"/>
  <c r="AW9" i="6"/>
  <c r="AY115" i="6"/>
  <c r="BJ105" i="6"/>
  <c r="BC12" i="6"/>
  <c r="AH135" i="6"/>
  <c r="AX135" i="6"/>
  <c r="AI135" i="6"/>
  <c r="AY135" i="6"/>
  <c r="AO135" i="6"/>
  <c r="BE135" i="6"/>
  <c r="AT135" i="6"/>
  <c r="AU135" i="6"/>
  <c r="AV135" i="6"/>
  <c r="AJ135" i="6"/>
  <c r="BC135" i="6"/>
  <c r="AZ135" i="6"/>
  <c r="BA135" i="6"/>
  <c r="BB135" i="6"/>
  <c r="BD135" i="6"/>
  <c r="BF135" i="6"/>
  <c r="BG135" i="6"/>
  <c r="AG135" i="6"/>
  <c r="BH135" i="6"/>
  <c r="AK135" i="6"/>
  <c r="BI135" i="6"/>
  <c r="AL135" i="6"/>
  <c r="BJ135" i="6"/>
  <c r="AH165" i="6"/>
  <c r="AX165" i="6"/>
  <c r="AI165" i="6"/>
  <c r="AY165" i="6"/>
  <c r="AO165" i="6"/>
  <c r="BE165" i="6"/>
  <c r="AL165" i="6"/>
  <c r="BF165" i="6"/>
  <c r="AM165" i="6"/>
  <c r="BG165" i="6"/>
  <c r="AN165" i="6"/>
  <c r="BH165" i="6"/>
  <c r="AP165" i="6"/>
  <c r="BI165" i="6"/>
  <c r="AQ165" i="6"/>
  <c r="BJ165" i="6"/>
  <c r="AR165" i="6"/>
  <c r="AT165" i="6"/>
  <c r="AJ165" i="6"/>
  <c r="AK165" i="6"/>
  <c r="AS165" i="6"/>
  <c r="AU165" i="6"/>
  <c r="AV165" i="6"/>
  <c r="AW165" i="6"/>
  <c r="AZ165" i="6"/>
  <c r="BA165" i="6"/>
  <c r="BB165" i="6"/>
  <c r="AV9" i="6"/>
  <c r="AY204" i="6"/>
  <c r="AX115" i="6"/>
  <c r="BI105" i="6"/>
  <c r="AV128" i="6"/>
  <c r="AL123" i="6"/>
  <c r="AP106" i="6"/>
  <c r="BF106" i="6"/>
  <c r="AQ106" i="6"/>
  <c r="BG106" i="6"/>
  <c r="AG106" i="6"/>
  <c r="AW106" i="6"/>
  <c r="AH106" i="6"/>
  <c r="BA106" i="6"/>
  <c r="AI106" i="6"/>
  <c r="BB106" i="6"/>
  <c r="AO106" i="6"/>
  <c r="BJ106" i="6"/>
  <c r="AM106" i="6"/>
  <c r="AN106" i="6"/>
  <c r="AR106" i="6"/>
  <c r="AS106" i="6"/>
  <c r="AT106" i="6"/>
  <c r="AU106" i="6"/>
  <c r="AX106" i="6"/>
  <c r="AU101" i="6"/>
  <c r="AV101" i="6"/>
  <c r="AL101" i="6"/>
  <c r="BB101" i="6"/>
  <c r="AW101" i="6"/>
  <c r="AX101" i="6"/>
  <c r="AK101" i="6"/>
  <c r="BE101" i="6"/>
  <c r="AZ101" i="6"/>
  <c r="BA101" i="6"/>
  <c r="BC101" i="6"/>
  <c r="AM101" i="6"/>
  <c r="BI101" i="6"/>
  <c r="AJ101" i="6"/>
  <c r="AN101" i="6"/>
  <c r="AO101" i="6"/>
  <c r="AP101" i="6"/>
  <c r="AQ101" i="6"/>
  <c r="AR101" i="6"/>
  <c r="AS101" i="6"/>
  <c r="AT101" i="6"/>
  <c r="BD101" i="6"/>
  <c r="BF101" i="6"/>
  <c r="BG101" i="6"/>
  <c r="BH101" i="6"/>
  <c r="BJ101" i="6"/>
  <c r="AT15" i="6"/>
  <c r="BJ15" i="6"/>
  <c r="AU15" i="6"/>
  <c r="AK15" i="6"/>
  <c r="BA15" i="6"/>
  <c r="AW15" i="6"/>
  <c r="AX15" i="6"/>
  <c r="AL15" i="6"/>
  <c r="BE15" i="6"/>
  <c r="BC15" i="6"/>
  <c r="AG15" i="6"/>
  <c r="BD15" i="6"/>
  <c r="AH15" i="6"/>
  <c r="BF15" i="6"/>
  <c r="AI15" i="6"/>
  <c r="BG15" i="6"/>
  <c r="AO15" i="6"/>
  <c r="AH202" i="6"/>
  <c r="AX202" i="6"/>
  <c r="AI202" i="6"/>
  <c r="AY202" i="6"/>
  <c r="AO202" i="6"/>
  <c r="BE202" i="6"/>
  <c r="AM202" i="6"/>
  <c r="BG202" i="6"/>
  <c r="AN202" i="6"/>
  <c r="BH202" i="6"/>
  <c r="AU202" i="6"/>
  <c r="AJ202" i="6"/>
  <c r="BI202" i="6"/>
  <c r="AK202" i="6"/>
  <c r="BJ202" i="6"/>
  <c r="AL202" i="6"/>
  <c r="AP202" i="6"/>
  <c r="AQ202" i="6"/>
  <c r="AR202" i="6"/>
  <c r="AS202" i="6"/>
  <c r="AT202" i="6"/>
  <c r="AV202" i="6"/>
  <c r="AK116" i="6"/>
  <c r="BA116" i="6"/>
  <c r="AN116" i="6"/>
  <c r="BD116" i="6"/>
  <c r="AI116" i="6"/>
  <c r="BB116" i="6"/>
  <c r="AJ116" i="6"/>
  <c r="BC116" i="6"/>
  <c r="AV116" i="6"/>
  <c r="AW116" i="6"/>
  <c r="AL116" i="6"/>
  <c r="BG116" i="6"/>
  <c r="AY116" i="6"/>
  <c r="AZ116" i="6"/>
  <c r="AM116" i="6"/>
  <c r="BH116" i="6"/>
  <c r="BI116" i="6"/>
  <c r="AP116" i="6"/>
  <c r="AH116" i="6"/>
  <c r="AO116" i="6"/>
  <c r="AQ116" i="6"/>
  <c r="AR116" i="6"/>
  <c r="AS116" i="6"/>
  <c r="AT116" i="6"/>
  <c r="AU116" i="6"/>
  <c r="AX116" i="6"/>
  <c r="BE116" i="6"/>
  <c r="BF116" i="6"/>
  <c r="BJ116" i="6"/>
  <c r="AG116" i="6"/>
  <c r="BG85" i="6"/>
  <c r="AQ162" i="6"/>
  <c r="BG162" i="6"/>
  <c r="AR162" i="6"/>
  <c r="BH162" i="6"/>
  <c r="AH162" i="6"/>
  <c r="AX162" i="6"/>
  <c r="AT162" i="6"/>
  <c r="AU162" i="6"/>
  <c r="AV162" i="6"/>
  <c r="AW162" i="6"/>
  <c r="AI162" i="6"/>
  <c r="BB162" i="6"/>
  <c r="AH193" i="6"/>
  <c r="AX193" i="6"/>
  <c r="AI193" i="6"/>
  <c r="AY193" i="6"/>
  <c r="AO193" i="6"/>
  <c r="BE193" i="6"/>
  <c r="AQ193" i="6"/>
  <c r="BJ193" i="6"/>
  <c r="AR193" i="6"/>
  <c r="AZ193" i="6"/>
  <c r="AG193" i="6"/>
  <c r="BF193" i="6"/>
  <c r="AK193" i="6"/>
  <c r="AJ193" i="6"/>
  <c r="BG193" i="6"/>
  <c r="BH193" i="6"/>
  <c r="AL193" i="6"/>
  <c r="BI193" i="6"/>
  <c r="AM193" i="6"/>
  <c r="AN193" i="6"/>
  <c r="AP193" i="6"/>
  <c r="AS193" i="6"/>
  <c r="AT193" i="6"/>
  <c r="AL187" i="6"/>
  <c r="BB187" i="6"/>
  <c r="AM187" i="6"/>
  <c r="BC187" i="6"/>
  <c r="AS187" i="6"/>
  <c r="BI187" i="6"/>
  <c r="AW187" i="6"/>
  <c r="AX187" i="6"/>
  <c r="AY187" i="6"/>
  <c r="AK187" i="6"/>
  <c r="BF187" i="6"/>
  <c r="AZ187" i="6"/>
  <c r="BA187" i="6"/>
  <c r="BD187" i="6"/>
  <c r="BE187" i="6"/>
  <c r="AG187" i="6"/>
  <c r="BG187" i="6"/>
  <c r="AH187" i="6"/>
  <c r="BH187" i="6"/>
  <c r="AI187" i="6"/>
  <c r="BJ187" i="6"/>
  <c r="AJ187" i="6"/>
  <c r="AN187" i="6"/>
  <c r="AK68" i="6"/>
  <c r="BA68" i="6"/>
  <c r="AL68" i="6"/>
  <c r="BB68" i="6"/>
  <c r="AR68" i="6"/>
  <c r="BH68" i="6"/>
  <c r="AT68" i="6"/>
  <c r="AU68" i="6"/>
  <c r="AH68" i="6"/>
  <c r="BC68" i="6"/>
  <c r="AO68" i="6"/>
  <c r="AP68" i="6"/>
  <c r="AY68" i="6"/>
  <c r="AZ68" i="6"/>
  <c r="BD68" i="6"/>
  <c r="BE68" i="6"/>
  <c r="BF68" i="6"/>
  <c r="BG68" i="6"/>
  <c r="BI68" i="6"/>
  <c r="AG68" i="6"/>
  <c r="BJ68" i="6"/>
  <c r="AI68" i="6"/>
  <c r="AJ68" i="6"/>
  <c r="AM68" i="6"/>
  <c r="AN68" i="6"/>
  <c r="AQ68" i="6"/>
  <c r="AS68" i="6"/>
  <c r="AV68" i="6"/>
  <c r="AM153" i="6"/>
  <c r="BC153" i="6"/>
  <c r="AN153" i="6"/>
  <c r="BD153" i="6"/>
  <c r="AT153" i="6"/>
  <c r="BJ153" i="6"/>
  <c r="AH153" i="6"/>
  <c r="BA153" i="6"/>
  <c r="AI153" i="6"/>
  <c r="BB153" i="6"/>
  <c r="AQ153" i="6"/>
  <c r="AV153" i="6"/>
  <c r="AW153" i="6"/>
  <c r="AX153" i="6"/>
  <c r="AZ153" i="6"/>
  <c r="BE153" i="6"/>
  <c r="BF153" i="6"/>
  <c r="AG153" i="6"/>
  <c r="BG153" i="6"/>
  <c r="AJ153" i="6"/>
  <c r="AK153" i="6"/>
  <c r="AL153" i="6"/>
  <c r="AO153" i="6"/>
  <c r="AP153" i="6"/>
  <c r="AR153" i="6"/>
  <c r="BH194" i="6"/>
  <c r="BJ162" i="6"/>
  <c r="AI189" i="6"/>
  <c r="AR163" i="6"/>
  <c r="AG144" i="6"/>
  <c r="AW123" i="6"/>
  <c r="AM11" i="6"/>
  <c r="AX77" i="6"/>
  <c r="AP2" i="6"/>
  <c r="AK42" i="6"/>
  <c r="AP59" i="6"/>
  <c r="AM93" i="6"/>
  <c r="BC93" i="6"/>
  <c r="AP93" i="6"/>
  <c r="BF93" i="6"/>
  <c r="AS93" i="6"/>
  <c r="AT93" i="6"/>
  <c r="AX93" i="6"/>
  <c r="AY93" i="6"/>
  <c r="AK93" i="6"/>
  <c r="BG93" i="6"/>
  <c r="BD93" i="6"/>
  <c r="AG93" i="6"/>
  <c r="BE93" i="6"/>
  <c r="AO93" i="6"/>
  <c r="AU93" i="6"/>
  <c r="AV93" i="6"/>
  <c r="BI93" i="6"/>
  <c r="AZ93" i="6"/>
  <c r="BA93" i="6"/>
  <c r="BB93" i="6"/>
  <c r="BH93" i="6"/>
  <c r="BJ93" i="6"/>
  <c r="AH93" i="6"/>
  <c r="AI93" i="6"/>
  <c r="AJ93" i="6"/>
  <c r="AL93" i="6"/>
  <c r="AN93" i="6"/>
  <c r="AQ93" i="6"/>
  <c r="AR93" i="6"/>
  <c r="AW93" i="6"/>
  <c r="AV18" i="6"/>
  <c r="AG18" i="6"/>
  <c r="AW18" i="6"/>
  <c r="AM18" i="6"/>
  <c r="BC18" i="6"/>
  <c r="AH18" i="6"/>
  <c r="BA18" i="6"/>
  <c r="AI18" i="6"/>
  <c r="BB18" i="6"/>
  <c r="AP18" i="6"/>
  <c r="BI18" i="6"/>
  <c r="AN18" i="6"/>
  <c r="AO18" i="6"/>
  <c r="AQ18" i="6"/>
  <c r="AR18" i="6"/>
  <c r="AS18" i="6"/>
  <c r="AT18" i="6"/>
  <c r="AU18" i="6"/>
  <c r="AX18" i="6"/>
  <c r="AY18" i="6"/>
  <c r="AO76" i="6"/>
  <c r="BE76" i="6"/>
  <c r="AP76" i="6"/>
  <c r="BF76" i="6"/>
  <c r="AV76" i="6"/>
  <c r="AW76" i="6"/>
  <c r="AX76" i="6"/>
  <c r="AK76" i="6"/>
  <c r="BD76" i="6"/>
  <c r="AZ76" i="6"/>
  <c r="BA76" i="6"/>
  <c r="AL76" i="6"/>
  <c r="BJ76" i="6"/>
  <c r="BB76" i="6"/>
  <c r="BC76" i="6"/>
  <c r="BG76" i="6"/>
  <c r="BH76" i="6"/>
  <c r="AG76" i="6"/>
  <c r="BI76" i="6"/>
  <c r="AH76" i="6"/>
  <c r="AI76" i="6"/>
  <c r="AJ76" i="6"/>
  <c r="AM76" i="6"/>
  <c r="AN76" i="6"/>
  <c r="AQ76" i="6"/>
  <c r="AR76" i="6"/>
  <c r="AS76" i="6"/>
  <c r="AT76" i="6"/>
  <c r="AJ20" i="6"/>
  <c r="AZ20" i="6"/>
  <c r="AK20" i="6"/>
  <c r="BA20" i="6"/>
  <c r="AQ20" i="6"/>
  <c r="BG20" i="6"/>
  <c r="AR20" i="6"/>
  <c r="AS20" i="6"/>
  <c r="AY20" i="6"/>
  <c r="BB20" i="6"/>
  <c r="BC20" i="6"/>
  <c r="BD20" i="6"/>
  <c r="AG20" i="6"/>
  <c r="BE20" i="6"/>
  <c r="AH20" i="6"/>
  <c r="BF20" i="6"/>
  <c r="AI20" i="6"/>
  <c r="BH20" i="6"/>
  <c r="AL20" i="6"/>
  <c r="BI20" i="6"/>
  <c r="AM20" i="6"/>
  <c r="BJ20" i="6"/>
  <c r="AT20" i="6"/>
  <c r="AU20" i="6"/>
  <c r="AV20" i="6"/>
  <c r="AW20" i="6"/>
  <c r="AX20" i="6"/>
  <c r="AQ147" i="6"/>
  <c r="BG147" i="6"/>
  <c r="AR147" i="6"/>
  <c r="BH147" i="6"/>
  <c r="AH147" i="6"/>
  <c r="AX147" i="6"/>
  <c r="AG147" i="6"/>
  <c r="BA147" i="6"/>
  <c r="AI147" i="6"/>
  <c r="BB147" i="6"/>
  <c r="BC147" i="6"/>
  <c r="AJ147" i="6"/>
  <c r="AK147" i="6"/>
  <c r="BD147" i="6"/>
  <c r="AO147" i="6"/>
  <c r="BJ147" i="6"/>
  <c r="AJ86" i="6"/>
  <c r="AZ86" i="6"/>
  <c r="AK86" i="6"/>
  <c r="BA86" i="6"/>
  <c r="AQ86" i="6"/>
  <c r="BG86" i="6"/>
  <c r="AV86" i="6"/>
  <c r="AW86" i="6"/>
  <c r="AL86" i="6"/>
  <c r="BE86" i="6"/>
  <c r="BC86" i="6"/>
  <c r="BD86" i="6"/>
  <c r="AG86" i="6"/>
  <c r="BF86" i="6"/>
  <c r="AH86" i="6"/>
  <c r="BH86" i="6"/>
  <c r="AI86" i="6"/>
  <c r="BI86" i="6"/>
  <c r="AM86" i="6"/>
  <c r="BJ86" i="6"/>
  <c r="AN86" i="6"/>
  <c r="AO86" i="6"/>
  <c r="AP86" i="6"/>
  <c r="AO70" i="6"/>
  <c r="BE70" i="6"/>
  <c r="AP70" i="6"/>
  <c r="BF70" i="6"/>
  <c r="AV70" i="6"/>
  <c r="AJ70" i="6"/>
  <c r="BC70" i="6"/>
  <c r="AK70" i="6"/>
  <c r="BD70" i="6"/>
  <c r="AS70" i="6"/>
  <c r="AU70" i="6"/>
  <c r="AW70" i="6"/>
  <c r="AX70" i="6"/>
  <c r="AG70" i="6"/>
  <c r="BG70" i="6"/>
  <c r="AT70" i="6"/>
  <c r="AY70" i="6"/>
  <c r="AZ70" i="6"/>
  <c r="BA70" i="6"/>
  <c r="BB70" i="6"/>
  <c r="BH70" i="6"/>
  <c r="BI70" i="6"/>
  <c r="BJ70" i="6"/>
  <c r="AH70" i="6"/>
  <c r="AI70" i="6"/>
  <c r="AL70" i="6"/>
  <c r="AM70" i="6"/>
  <c r="AN70" i="6"/>
  <c r="AQ70" i="6"/>
  <c r="AR70" i="6"/>
  <c r="AS127" i="6"/>
  <c r="BI127" i="6"/>
  <c r="AT127" i="6"/>
  <c r="BJ127" i="6"/>
  <c r="AJ127" i="6"/>
  <c r="AZ127" i="6"/>
  <c r="AM127" i="6"/>
  <c r="BF127" i="6"/>
  <c r="AN127" i="6"/>
  <c r="BG127" i="6"/>
  <c r="AV127" i="6"/>
  <c r="AG127" i="6"/>
  <c r="BD127" i="6"/>
  <c r="AH127" i="6"/>
  <c r="BE127" i="6"/>
  <c r="AI127" i="6"/>
  <c r="BH127" i="6"/>
  <c r="AL127" i="6"/>
  <c r="AP127" i="6"/>
  <c r="AQ127" i="6"/>
  <c r="AK127" i="6"/>
  <c r="AO127" i="6"/>
  <c r="AR127" i="6"/>
  <c r="AU127" i="6"/>
  <c r="AW127" i="6"/>
  <c r="AX127" i="6"/>
  <c r="AY127" i="6"/>
  <c r="AL206" i="6"/>
  <c r="BB206" i="6"/>
  <c r="AM206" i="6"/>
  <c r="BC206" i="6"/>
  <c r="AS206" i="6"/>
  <c r="BI206" i="6"/>
  <c r="AG206" i="6"/>
  <c r="AZ206" i="6"/>
  <c r="AH206" i="6"/>
  <c r="BA206" i="6"/>
  <c r="AP206" i="6"/>
  <c r="BJ206" i="6"/>
  <c r="AU206" i="6"/>
  <c r="AV206" i="6"/>
  <c r="AW206" i="6"/>
  <c r="AX206" i="6"/>
  <c r="AY206" i="6"/>
  <c r="BD206" i="6"/>
  <c r="BE206" i="6"/>
  <c r="BF206" i="6"/>
  <c r="AI206" i="6"/>
  <c r="AJ206" i="6"/>
  <c r="AK206" i="6"/>
  <c r="AN206" i="6"/>
  <c r="AG16" i="6"/>
  <c r="AW16" i="6"/>
  <c r="AH16" i="6"/>
  <c r="AX16" i="6"/>
  <c r="AN16" i="6"/>
  <c r="BD16" i="6"/>
  <c r="AP16" i="6"/>
  <c r="BI16" i="6"/>
  <c r="AQ16" i="6"/>
  <c r="BJ16" i="6"/>
  <c r="AY16" i="6"/>
  <c r="AR16" i="6"/>
  <c r="AS16" i="6"/>
  <c r="AT16" i="6"/>
  <c r="AV16" i="6"/>
  <c r="AZ16" i="6"/>
  <c r="BA16" i="6"/>
  <c r="BB16" i="6"/>
  <c r="AL16" i="6"/>
  <c r="AM16" i="6"/>
  <c r="AO16" i="6"/>
  <c r="AU16" i="6"/>
  <c r="BC16" i="6"/>
  <c r="BE16" i="6"/>
  <c r="BF16" i="6"/>
  <c r="BG16" i="6"/>
  <c r="AI16" i="6"/>
  <c r="AJ16" i="6"/>
  <c r="AK16" i="6"/>
  <c r="BH16" i="6"/>
  <c r="AJ56" i="6"/>
  <c r="AZ56" i="6"/>
  <c r="AK56" i="6"/>
  <c r="BA56" i="6"/>
  <c r="AQ56" i="6"/>
  <c r="BG56" i="6"/>
  <c r="AO56" i="6"/>
  <c r="BI56" i="6"/>
  <c r="AP56" i="6"/>
  <c r="BJ56" i="6"/>
  <c r="AW56" i="6"/>
  <c r="AY56" i="6"/>
  <c r="BB56" i="6"/>
  <c r="AL56" i="6"/>
  <c r="BE56" i="6"/>
  <c r="BF56" i="6"/>
  <c r="BH56" i="6"/>
  <c r="AH56" i="6"/>
  <c r="AI56" i="6"/>
  <c r="AM56" i="6"/>
  <c r="AN56" i="6"/>
  <c r="AT56" i="6"/>
  <c r="AU56" i="6"/>
  <c r="AV56" i="6"/>
  <c r="AX56" i="6"/>
  <c r="BC56" i="6"/>
  <c r="BD56" i="6"/>
  <c r="AG56" i="6"/>
  <c r="AR56" i="6"/>
  <c r="AS56" i="6"/>
  <c r="AR53" i="6"/>
  <c r="BH53" i="6"/>
  <c r="AS53" i="6"/>
  <c r="BI53" i="6"/>
  <c r="AI53" i="6"/>
  <c r="AY53" i="6"/>
  <c r="AP53" i="6"/>
  <c r="AQ53" i="6"/>
  <c r="AZ53" i="6"/>
  <c r="AX53" i="6"/>
  <c r="BA53" i="6"/>
  <c r="AK53" i="6"/>
  <c r="BG53" i="6"/>
  <c r="BE53" i="6"/>
  <c r="BF53" i="6"/>
  <c r="AG53" i="6"/>
  <c r="BJ53" i="6"/>
  <c r="AJ53" i="6"/>
  <c r="AL53" i="6"/>
  <c r="AM53" i="6"/>
  <c r="AN53" i="6"/>
  <c r="BC53" i="6"/>
  <c r="BD53" i="6"/>
  <c r="AU53" i="6"/>
  <c r="AV53" i="6"/>
  <c r="AW53" i="6"/>
  <c r="BB53" i="6"/>
  <c r="AG50" i="6"/>
  <c r="AW50" i="6"/>
  <c r="AJ50" i="6"/>
  <c r="AZ50" i="6"/>
  <c r="AM50" i="6"/>
  <c r="BE50" i="6"/>
  <c r="AN50" i="6"/>
  <c r="BF50" i="6"/>
  <c r="AI50" i="6"/>
  <c r="BD50" i="6"/>
  <c r="AK50" i="6"/>
  <c r="BG50" i="6"/>
  <c r="AS50" i="6"/>
  <c r="AY50" i="6"/>
  <c r="BA50" i="6"/>
  <c r="AL50" i="6"/>
  <c r="AH50" i="6"/>
  <c r="AO50" i="6"/>
  <c r="AV50" i="6"/>
  <c r="AX50" i="6"/>
  <c r="BB50" i="6"/>
  <c r="BC50" i="6"/>
  <c r="BH50" i="6"/>
  <c r="BI50" i="6"/>
  <c r="BJ50" i="6"/>
  <c r="AP50" i="6"/>
  <c r="AQ50" i="6"/>
  <c r="AR50" i="6"/>
  <c r="AT50" i="6"/>
  <c r="AU50" i="6"/>
  <c r="BG194" i="6"/>
  <c r="BH9" i="6"/>
  <c r="BI162" i="6"/>
  <c r="AG162" i="6"/>
  <c r="AJ176" i="6"/>
  <c r="AH189" i="6"/>
  <c r="AQ163" i="6"/>
  <c r="BF96" i="6"/>
  <c r="AV123" i="6"/>
  <c r="AL48" i="6"/>
  <c r="AN147" i="6"/>
  <c r="AL11" i="6"/>
  <c r="BJ167" i="6"/>
  <c r="BB15" i="6"/>
  <c r="AV77" i="6"/>
  <c r="AK89" i="6"/>
  <c r="AN2" i="6"/>
  <c r="BD106" i="6"/>
  <c r="AO85" i="6"/>
  <c r="AX19" i="6"/>
  <c r="BF202" i="6"/>
  <c r="BC173" i="6"/>
  <c r="AI35" i="6"/>
  <c r="BD18" i="6"/>
  <c r="AI159" i="6"/>
  <c r="AJ42" i="6"/>
  <c r="AN135" i="6"/>
  <c r="BD117" i="6"/>
  <c r="AT88" i="6"/>
  <c r="AW72" i="6"/>
  <c r="AL54" i="6"/>
  <c r="AQ121" i="6"/>
  <c r="BD192" i="6"/>
  <c r="AL201" i="6"/>
  <c r="AT206" i="6"/>
  <c r="AG169" i="6"/>
  <c r="AX39" i="6"/>
  <c r="AM161" i="6"/>
  <c r="BB74" i="6"/>
  <c r="AJ78" i="6"/>
  <c r="AZ78" i="6"/>
  <c r="AK78" i="6"/>
  <c r="BA78" i="6"/>
  <c r="AQ78" i="6"/>
  <c r="BG78" i="6"/>
  <c r="AI78" i="6"/>
  <c r="BD78" i="6"/>
  <c r="AL78" i="6"/>
  <c r="BE78" i="6"/>
  <c r="AM78" i="6"/>
  <c r="BF78" i="6"/>
  <c r="AS78" i="6"/>
  <c r="AU78" i="6"/>
  <c r="AV78" i="6"/>
  <c r="AW78" i="6"/>
  <c r="AX78" i="6"/>
  <c r="AY78" i="6"/>
  <c r="BB78" i="6"/>
  <c r="BC78" i="6"/>
  <c r="BH78" i="6"/>
  <c r="BI78" i="6"/>
  <c r="AO108" i="6"/>
  <c r="BE108" i="6"/>
  <c r="AL108" i="6"/>
  <c r="BC108" i="6"/>
  <c r="AM108" i="6"/>
  <c r="BD108" i="6"/>
  <c r="AT108" i="6"/>
  <c r="AU108" i="6"/>
  <c r="AH108" i="6"/>
  <c r="BA108" i="6"/>
  <c r="AS108" i="6"/>
  <c r="AV108" i="6"/>
  <c r="BF108" i="6"/>
  <c r="AX108" i="6"/>
  <c r="AY108" i="6"/>
  <c r="AG108" i="6"/>
  <c r="BJ108" i="6"/>
  <c r="AJ108" i="6"/>
  <c r="AK108" i="6"/>
  <c r="AN108" i="6"/>
  <c r="AP108" i="6"/>
  <c r="AQ108" i="6"/>
  <c r="AR108" i="6"/>
  <c r="AW108" i="6"/>
  <c r="AZ108" i="6"/>
  <c r="BB108" i="6"/>
  <c r="BG108" i="6"/>
  <c r="BH108" i="6"/>
  <c r="BI108" i="6"/>
  <c r="AI108" i="6"/>
  <c r="BA173" i="6"/>
  <c r="AI123" i="6"/>
  <c r="AY123" i="6"/>
  <c r="AJ123" i="6"/>
  <c r="AZ123" i="6"/>
  <c r="AP123" i="6"/>
  <c r="BF123" i="6"/>
  <c r="AX123" i="6"/>
  <c r="BA123" i="6"/>
  <c r="AG123" i="6"/>
  <c r="BB123" i="6"/>
  <c r="AH123" i="6"/>
  <c r="BC123" i="6"/>
  <c r="AN123" i="6"/>
  <c r="BH123" i="6"/>
  <c r="AU204" i="6"/>
  <c r="AV204" i="6"/>
  <c r="AL204" i="6"/>
  <c r="BB204" i="6"/>
  <c r="AG204" i="6"/>
  <c r="AZ204" i="6"/>
  <c r="AH204" i="6"/>
  <c r="BA204" i="6"/>
  <c r="AI204" i="6"/>
  <c r="BC204" i="6"/>
  <c r="AJ204" i="6"/>
  <c r="BD204" i="6"/>
  <c r="AO204" i="6"/>
  <c r="BH204" i="6"/>
  <c r="AI114" i="6"/>
  <c r="AY114" i="6"/>
  <c r="AL114" i="6"/>
  <c r="AQ114" i="6"/>
  <c r="BH114" i="6"/>
  <c r="AR114" i="6"/>
  <c r="BI114" i="6"/>
  <c r="AK114" i="6"/>
  <c r="BE114" i="6"/>
  <c r="AM114" i="6"/>
  <c r="BF114" i="6"/>
  <c r="AU114" i="6"/>
  <c r="AN114" i="6"/>
  <c r="AO114" i="6"/>
  <c r="AX114" i="6"/>
  <c r="AZ114" i="6"/>
  <c r="BA114" i="6"/>
  <c r="BB114" i="6"/>
  <c r="BC114" i="6"/>
  <c r="BD114" i="6"/>
  <c r="BG114" i="6"/>
  <c r="BJ114" i="6"/>
  <c r="AG114" i="6"/>
  <c r="AH114" i="6"/>
  <c r="AJ114" i="6"/>
  <c r="AP114" i="6"/>
  <c r="AS114" i="6"/>
  <c r="AT114" i="6"/>
  <c r="AV114" i="6"/>
  <c r="AZ173" i="6"/>
  <c r="AG54" i="6"/>
  <c r="AO139" i="6"/>
  <c r="AG77" i="6"/>
  <c r="AV59" i="6"/>
  <c r="AG59" i="6"/>
  <c r="AW59" i="6"/>
  <c r="AM59" i="6"/>
  <c r="BC59" i="6"/>
  <c r="AR59" i="6"/>
  <c r="AS59" i="6"/>
  <c r="AT59" i="6"/>
  <c r="AH59" i="6"/>
  <c r="BA59" i="6"/>
  <c r="AX59" i="6"/>
  <c r="AY59" i="6"/>
  <c r="AZ59" i="6"/>
  <c r="BB59" i="6"/>
  <c r="BD59" i="6"/>
  <c r="BE59" i="6"/>
  <c r="BF59" i="6"/>
  <c r="AI59" i="6"/>
  <c r="BG59" i="6"/>
  <c r="AJ59" i="6"/>
  <c r="BH59" i="6"/>
  <c r="AN98" i="6"/>
  <c r="BD98" i="6"/>
  <c r="AO98" i="6"/>
  <c r="BE98" i="6"/>
  <c r="AU98" i="6"/>
  <c r="AQ98" i="6"/>
  <c r="BJ98" i="6"/>
  <c r="AR98" i="6"/>
  <c r="AY98" i="6"/>
  <c r="AM98" i="6"/>
  <c r="AP98" i="6"/>
  <c r="AS98" i="6"/>
  <c r="AT98" i="6"/>
  <c r="AV98" i="6"/>
  <c r="AW98" i="6"/>
  <c r="AX98" i="6"/>
  <c r="AZ98" i="6"/>
  <c r="AH98" i="6"/>
  <c r="AI98" i="6"/>
  <c r="AJ98" i="6"/>
  <c r="AK98" i="6"/>
  <c r="AL98" i="6"/>
  <c r="BA98" i="6"/>
  <c r="BB98" i="6"/>
  <c r="BC98" i="6"/>
  <c r="BF98" i="6"/>
  <c r="AS124" i="6"/>
  <c r="BI124" i="6"/>
  <c r="AV124" i="6"/>
  <c r="AT124" i="6"/>
  <c r="AU124" i="6"/>
  <c r="AP124" i="6"/>
  <c r="AQ124" i="6"/>
  <c r="AG124" i="6"/>
  <c r="BA124" i="6"/>
  <c r="AO124" i="6"/>
  <c r="AR124" i="6"/>
  <c r="BC124" i="6"/>
  <c r="AZ124" i="6"/>
  <c r="BB124" i="6"/>
  <c r="AI124" i="6"/>
  <c r="BJ124" i="6"/>
  <c r="AL124" i="6"/>
  <c r="AM124" i="6"/>
  <c r="AN124" i="6"/>
  <c r="AW124" i="6"/>
  <c r="AX124" i="6"/>
  <c r="AY124" i="6"/>
  <c r="BD124" i="6"/>
  <c r="BE124" i="6"/>
  <c r="AH124" i="6"/>
  <c r="AJ124" i="6"/>
  <c r="AK124" i="6"/>
  <c r="BF124" i="6"/>
  <c r="BJ163" i="6"/>
  <c r="AU96" i="6"/>
  <c r="AQ123" i="6"/>
  <c r="AV173" i="6"/>
  <c r="AQ58" i="6"/>
  <c r="AR78" i="6"/>
  <c r="AG192" i="6"/>
  <c r="AK139" i="6"/>
  <c r="AL47" i="6"/>
  <c r="BB47" i="6"/>
  <c r="AM47" i="6"/>
  <c r="BC47" i="6"/>
  <c r="AS47" i="6"/>
  <c r="BI47" i="6"/>
  <c r="AH47" i="6"/>
  <c r="BA47" i="6"/>
  <c r="AI47" i="6"/>
  <c r="BD47" i="6"/>
  <c r="AQ47" i="6"/>
  <c r="AX47" i="6"/>
  <c r="AY47" i="6"/>
  <c r="AZ47" i="6"/>
  <c r="BE47" i="6"/>
  <c r="BF47" i="6"/>
  <c r="AG47" i="6"/>
  <c r="BG47" i="6"/>
  <c r="AK47" i="6"/>
  <c r="BJ47" i="6"/>
  <c r="AN47" i="6"/>
  <c r="AM25" i="6"/>
  <c r="BC25" i="6"/>
  <c r="AN25" i="6"/>
  <c r="BD25" i="6"/>
  <c r="AT25" i="6"/>
  <c r="BJ25" i="6"/>
  <c r="AQ25" i="6"/>
  <c r="AR25" i="6"/>
  <c r="AY25" i="6"/>
  <c r="BB25" i="6"/>
  <c r="AG25" i="6"/>
  <c r="BE25" i="6"/>
  <c r="AO25" i="6"/>
  <c r="BA25" i="6"/>
  <c r="BF25" i="6"/>
  <c r="BG25" i="6"/>
  <c r="BH25" i="6"/>
  <c r="AH25" i="6"/>
  <c r="BI25" i="6"/>
  <c r="AI25" i="6"/>
  <c r="AJ25" i="6"/>
  <c r="AK25" i="6"/>
  <c r="AL25" i="6"/>
  <c r="AP25" i="6"/>
  <c r="AO123" i="6"/>
  <c r="AT43" i="6"/>
  <c r="AV143" i="6"/>
  <c r="AG143" i="6"/>
  <c r="AW143" i="6"/>
  <c r="AM143" i="6"/>
  <c r="BC143" i="6"/>
  <c r="AX143" i="6"/>
  <c r="AY143" i="6"/>
  <c r="AL143" i="6"/>
  <c r="BF143" i="6"/>
  <c r="AP143" i="6"/>
  <c r="AQ143" i="6"/>
  <c r="AR143" i="6"/>
  <c r="AS143" i="6"/>
  <c r="AT143" i="6"/>
  <c r="AU143" i="6"/>
  <c r="AZ143" i="6"/>
  <c r="BA143" i="6"/>
  <c r="BB143" i="6"/>
  <c r="AT45" i="6"/>
  <c r="BJ45" i="6"/>
  <c r="AU45" i="6"/>
  <c r="AK45" i="6"/>
  <c r="BA45" i="6"/>
  <c r="AJ45" i="6"/>
  <c r="BD45" i="6"/>
  <c r="AL45" i="6"/>
  <c r="BE45" i="6"/>
  <c r="AR45" i="6"/>
  <c r="AX45" i="6"/>
  <c r="AY45" i="6"/>
  <c r="AZ45" i="6"/>
  <c r="BB45" i="6"/>
  <c r="BC45" i="6"/>
  <c r="AG45" i="6"/>
  <c r="BF45" i="6"/>
  <c r="AH45" i="6"/>
  <c r="BG45" i="6"/>
  <c r="AI45" i="6"/>
  <c r="BH45" i="6"/>
  <c r="AM45" i="6"/>
  <c r="BI45" i="6"/>
  <c r="AO7" i="6"/>
  <c r="BE7" i="6"/>
  <c r="AR7" i="6"/>
  <c r="BH7" i="6"/>
  <c r="AU7" i="6"/>
  <c r="AV7" i="6"/>
  <c r="AN7" i="6"/>
  <c r="BJ7" i="6"/>
  <c r="AP7" i="6"/>
  <c r="AY7" i="6"/>
  <c r="AI7" i="6"/>
  <c r="BG7" i="6"/>
  <c r="AJ7" i="6"/>
  <c r="BI7" i="6"/>
  <c r="AT7" i="6"/>
  <c r="AQ7" i="6"/>
  <c r="AS7" i="6"/>
  <c r="BC7" i="6"/>
  <c r="AX7" i="6"/>
  <c r="AZ7" i="6"/>
  <c r="BA7" i="6"/>
  <c r="BB7" i="6"/>
  <c r="BD7" i="6"/>
  <c r="BF7" i="6"/>
  <c r="AG7" i="6"/>
  <c r="AH7" i="6"/>
  <c r="AK7" i="6"/>
  <c r="AL7" i="6"/>
  <c r="AM7" i="6"/>
  <c r="AW7" i="6"/>
  <c r="BC163" i="6"/>
  <c r="BC48" i="6"/>
  <c r="AO78" i="6"/>
  <c r="AV164" i="6"/>
  <c r="AP82" i="6"/>
  <c r="AN40" i="6"/>
  <c r="BD40" i="6"/>
  <c r="AO40" i="6"/>
  <c r="BE40" i="6"/>
  <c r="AU40" i="6"/>
  <c r="AI40" i="6"/>
  <c r="BB40" i="6"/>
  <c r="AJ40" i="6"/>
  <c r="BC40" i="6"/>
  <c r="AR40" i="6"/>
  <c r="AL40" i="6"/>
  <c r="BJ40" i="6"/>
  <c r="AM40" i="6"/>
  <c r="AP40" i="6"/>
  <c r="AQ40" i="6"/>
  <c r="AS40" i="6"/>
  <c r="AT40" i="6"/>
  <c r="AV40" i="6"/>
  <c r="AW40" i="6"/>
  <c r="AX40" i="6"/>
  <c r="AS63" i="6"/>
  <c r="BI63" i="6"/>
  <c r="AT63" i="6"/>
  <c r="BJ63" i="6"/>
  <c r="AJ63" i="6"/>
  <c r="AZ63" i="6"/>
  <c r="AP63" i="6"/>
  <c r="AQ63" i="6"/>
  <c r="AY63" i="6"/>
  <c r="BC63" i="6"/>
  <c r="AG63" i="6"/>
  <c r="BD63" i="6"/>
  <c r="AH63" i="6"/>
  <c r="BE63" i="6"/>
  <c r="AK63" i="6"/>
  <c r="BG63" i="6"/>
  <c r="AL63" i="6"/>
  <c r="BH63" i="6"/>
  <c r="AM63" i="6"/>
  <c r="AN63" i="6"/>
  <c r="BB63" i="6"/>
  <c r="BF63" i="6"/>
  <c r="AI63" i="6"/>
  <c r="AO63" i="6"/>
  <c r="AO144" i="6"/>
  <c r="BE144" i="6"/>
  <c r="AP144" i="6"/>
  <c r="BF144" i="6"/>
  <c r="AV144" i="6"/>
  <c r="AM144" i="6"/>
  <c r="BH144" i="6"/>
  <c r="AN144" i="6"/>
  <c r="BI144" i="6"/>
  <c r="AQ144" i="6"/>
  <c r="BJ144" i="6"/>
  <c r="AR144" i="6"/>
  <c r="AW144" i="6"/>
  <c r="AN179" i="6"/>
  <c r="BD179" i="6"/>
  <c r="AO179" i="6"/>
  <c r="BE179" i="6"/>
  <c r="AK179" i="6"/>
  <c r="BC179" i="6"/>
  <c r="AL179" i="6"/>
  <c r="BF179" i="6"/>
  <c r="AT179" i="6"/>
  <c r="AV179" i="6"/>
  <c r="AW179" i="6"/>
  <c r="AH179" i="6"/>
  <c r="BG179" i="6"/>
  <c r="AJ179" i="6"/>
  <c r="AM179" i="6"/>
  <c r="AP179" i="6"/>
  <c r="AR179" i="6"/>
  <c r="AS179" i="6"/>
  <c r="AU179" i="6"/>
  <c r="AX179" i="6"/>
  <c r="AQ179" i="6"/>
  <c r="AY179" i="6"/>
  <c r="AZ179" i="6"/>
  <c r="BA179" i="6"/>
  <c r="BB179" i="6"/>
  <c r="BH179" i="6"/>
  <c r="BI179" i="6"/>
  <c r="BJ179" i="6"/>
  <c r="AG179" i="6"/>
  <c r="AI179" i="6"/>
  <c r="AH9" i="6"/>
  <c r="AR200" i="6"/>
  <c r="BH200" i="6"/>
  <c r="AS200" i="6"/>
  <c r="BI200" i="6"/>
  <c r="AI200" i="6"/>
  <c r="AY200" i="6"/>
  <c r="AO200" i="6"/>
  <c r="BJ200" i="6"/>
  <c r="AP200" i="6"/>
  <c r="AX200" i="6"/>
  <c r="BB200" i="6"/>
  <c r="BC200" i="6"/>
  <c r="AG200" i="6"/>
  <c r="BD200" i="6"/>
  <c r="AH200" i="6"/>
  <c r="BE200" i="6"/>
  <c r="AJ200" i="6"/>
  <c r="BF200" i="6"/>
  <c r="AK200" i="6"/>
  <c r="BG200" i="6"/>
  <c r="AL200" i="6"/>
  <c r="AM200" i="6"/>
  <c r="AN200" i="6"/>
  <c r="AQ200" i="6"/>
  <c r="AT200" i="6"/>
  <c r="AU200" i="6"/>
  <c r="AJ177" i="6"/>
  <c r="AZ177" i="6"/>
  <c r="AK177" i="6"/>
  <c r="BA177" i="6"/>
  <c r="AQ177" i="6"/>
  <c r="BG177" i="6"/>
  <c r="AL177" i="6"/>
  <c r="BE177" i="6"/>
  <c r="AM177" i="6"/>
  <c r="BF177" i="6"/>
  <c r="AT177" i="6"/>
  <c r="AI177" i="6"/>
  <c r="BJ177" i="6"/>
  <c r="AN177" i="6"/>
  <c r="AO177" i="6"/>
  <c r="AP177" i="6"/>
  <c r="AV177" i="6"/>
  <c r="AO125" i="6"/>
  <c r="BE125" i="6"/>
  <c r="AP125" i="6"/>
  <c r="BF125" i="6"/>
  <c r="AV125" i="6"/>
  <c r="AM125" i="6"/>
  <c r="BH125" i="6"/>
  <c r="AN125" i="6"/>
  <c r="BI125" i="6"/>
  <c r="AW125" i="6"/>
  <c r="AS125" i="6"/>
  <c r="AT125" i="6"/>
  <c r="AU125" i="6"/>
  <c r="AY125" i="6"/>
  <c r="AZ125" i="6"/>
  <c r="BA125" i="6"/>
  <c r="BB125" i="6"/>
  <c r="AX125" i="6"/>
  <c r="BC125" i="6"/>
  <c r="BD125" i="6"/>
  <c r="BG125" i="6"/>
  <c r="BJ125" i="6"/>
  <c r="AG125" i="6"/>
  <c r="AH125" i="6"/>
  <c r="AI126" i="6"/>
  <c r="AY126" i="6"/>
  <c r="AJ126" i="6"/>
  <c r="AZ126" i="6"/>
  <c r="AP126" i="6"/>
  <c r="BF126" i="6"/>
  <c r="AR126" i="6"/>
  <c r="AS126" i="6"/>
  <c r="BA126" i="6"/>
  <c r="AO126" i="6"/>
  <c r="AQ126" i="6"/>
  <c r="BB126" i="6"/>
  <c r="BD126" i="6"/>
  <c r="BE126" i="6"/>
  <c r="BG126" i="6"/>
  <c r="BH126" i="6"/>
  <c r="AG126" i="6"/>
  <c r="BI126" i="6"/>
  <c r="AH126" i="6"/>
  <c r="BJ126" i="6"/>
  <c r="AK126" i="6"/>
  <c r="AL126" i="6"/>
  <c r="AM126" i="6"/>
  <c r="AN126" i="6"/>
  <c r="AI155" i="6"/>
  <c r="AY155" i="6"/>
  <c r="AL155" i="6"/>
  <c r="BB155" i="6"/>
  <c r="AS155" i="6"/>
  <c r="AT155" i="6"/>
  <c r="AV155" i="6"/>
  <c r="AW155" i="6"/>
  <c r="AJ155" i="6"/>
  <c r="BE155" i="6"/>
  <c r="AU155" i="6"/>
  <c r="AX155" i="6"/>
  <c r="AG155" i="6"/>
  <c r="BG155" i="6"/>
  <c r="AM155" i="6"/>
  <c r="AN155" i="6"/>
  <c r="BA155" i="6"/>
  <c r="BH155" i="6"/>
  <c r="BI155" i="6"/>
  <c r="BJ155" i="6"/>
  <c r="AH155" i="6"/>
  <c r="AK155" i="6"/>
  <c r="AO155" i="6"/>
  <c r="BG144" i="6"/>
  <c r="AM48" i="6"/>
  <c r="BH15" i="6"/>
  <c r="BE106" i="6"/>
  <c r="AP85" i="6"/>
  <c r="AN143" i="6"/>
  <c r="BD173" i="6"/>
  <c r="BI40" i="6"/>
  <c r="BJ117" i="6"/>
  <c r="AM54" i="6"/>
  <c r="AO102" i="6"/>
  <c r="BE102" i="6"/>
  <c r="AP102" i="6"/>
  <c r="BF102" i="6"/>
  <c r="AV102" i="6"/>
  <c r="AJ102" i="6"/>
  <c r="BC102" i="6"/>
  <c r="AK102" i="6"/>
  <c r="BD102" i="6"/>
  <c r="AL102" i="6"/>
  <c r="BG102" i="6"/>
  <c r="AM102" i="6"/>
  <c r="BH102" i="6"/>
  <c r="AS102" i="6"/>
  <c r="AL138" i="6"/>
  <c r="BB138" i="6"/>
  <c r="AM138" i="6"/>
  <c r="BC138" i="6"/>
  <c r="AS138" i="6"/>
  <c r="BI138" i="6"/>
  <c r="AX138" i="6"/>
  <c r="AY138" i="6"/>
  <c r="AN138" i="6"/>
  <c r="BG138" i="6"/>
  <c r="BA138" i="6"/>
  <c r="BD138" i="6"/>
  <c r="AG138" i="6"/>
  <c r="BE138" i="6"/>
  <c r="AH138" i="6"/>
  <c r="BF138" i="6"/>
  <c r="AJ138" i="6"/>
  <c r="BJ138" i="6"/>
  <c r="AO138" i="6"/>
  <c r="AP199" i="6"/>
  <c r="BF199" i="6"/>
  <c r="AQ199" i="6"/>
  <c r="BG199" i="6"/>
  <c r="AG199" i="6"/>
  <c r="AW199" i="6"/>
  <c r="AK199" i="6"/>
  <c r="BD199" i="6"/>
  <c r="AL199" i="6"/>
  <c r="BE199" i="6"/>
  <c r="AT199" i="6"/>
  <c r="AJ199" i="6"/>
  <c r="BJ199" i="6"/>
  <c r="AM199" i="6"/>
  <c r="AN199" i="6"/>
  <c r="AO199" i="6"/>
  <c r="AR199" i="6"/>
  <c r="AS199" i="6"/>
  <c r="AU199" i="6"/>
  <c r="AV199" i="6"/>
  <c r="AX199" i="6"/>
  <c r="AL174" i="6"/>
  <c r="BB174" i="6"/>
  <c r="AM174" i="6"/>
  <c r="BC174" i="6"/>
  <c r="AS174" i="6"/>
  <c r="BI174" i="6"/>
  <c r="AU174" i="6"/>
  <c r="AV174" i="6"/>
  <c r="AI174" i="6"/>
  <c r="BD174" i="6"/>
  <c r="BE174" i="6"/>
  <c r="AH174" i="6"/>
  <c r="AG174" i="6"/>
  <c r="BF174" i="6"/>
  <c r="BG174" i="6"/>
  <c r="AJ174" i="6"/>
  <c r="BH174" i="6"/>
  <c r="AP174" i="6"/>
  <c r="AP149" i="6"/>
  <c r="BF149" i="6"/>
  <c r="AQ149" i="6"/>
  <c r="BG149" i="6"/>
  <c r="AG149" i="6"/>
  <c r="AW149" i="6"/>
  <c r="AT149" i="6"/>
  <c r="AU149" i="6"/>
  <c r="AI149" i="6"/>
  <c r="BB149" i="6"/>
  <c r="AR149" i="6"/>
  <c r="AS149" i="6"/>
  <c r="AV149" i="6"/>
  <c r="AX149" i="6"/>
  <c r="BC149" i="6"/>
  <c r="AG37" i="6"/>
  <c r="AW37" i="6"/>
  <c r="AH37" i="6"/>
  <c r="AX37" i="6"/>
  <c r="AN37" i="6"/>
  <c r="BD37" i="6"/>
  <c r="AL37" i="6"/>
  <c r="BF37" i="6"/>
  <c r="AM37" i="6"/>
  <c r="BG37" i="6"/>
  <c r="AT37" i="6"/>
  <c r="AS37" i="6"/>
  <c r="AU37" i="6"/>
  <c r="AV37" i="6"/>
  <c r="BC37" i="6"/>
  <c r="AK37" i="6"/>
  <c r="AO37" i="6"/>
  <c r="AP37" i="6"/>
  <c r="AQ37" i="6"/>
  <c r="AR37" i="6"/>
  <c r="AY37" i="6"/>
  <c r="AZ37" i="6"/>
  <c r="BA37" i="6"/>
  <c r="AI37" i="6"/>
  <c r="AJ37" i="6"/>
  <c r="BB37" i="6"/>
  <c r="BE37" i="6"/>
  <c r="AL21" i="6"/>
  <c r="BB21" i="6"/>
  <c r="AM21" i="6"/>
  <c r="BC21" i="6"/>
  <c r="AS21" i="6"/>
  <c r="BI21" i="6"/>
  <c r="AK21" i="6"/>
  <c r="BF21" i="6"/>
  <c r="AN21" i="6"/>
  <c r="BG21" i="6"/>
  <c r="AU21" i="6"/>
  <c r="AW21" i="6"/>
  <c r="AX21" i="6"/>
  <c r="AY21" i="6"/>
  <c r="AZ21" i="6"/>
  <c r="BA21" i="6"/>
  <c r="BD21" i="6"/>
  <c r="AG21" i="6"/>
  <c r="BE21" i="6"/>
  <c r="AH21" i="6"/>
  <c r="BH21" i="6"/>
  <c r="AI21" i="6"/>
  <c r="BJ21" i="6"/>
  <c r="AQ81" i="6"/>
  <c r="BG81" i="6"/>
  <c r="AR81" i="6"/>
  <c r="BH81" i="6"/>
  <c r="AH81" i="6"/>
  <c r="AX81" i="6"/>
  <c r="AO81" i="6"/>
  <c r="BJ81" i="6"/>
  <c r="AP81" i="6"/>
  <c r="AY81" i="6"/>
  <c r="AS81" i="6"/>
  <c r="AT81" i="6"/>
  <c r="BB81" i="6"/>
  <c r="BC81" i="6"/>
  <c r="BD81" i="6"/>
  <c r="BE81" i="6"/>
  <c r="BF81" i="6"/>
  <c r="AG81" i="6"/>
  <c r="BI81" i="6"/>
  <c r="AI81" i="6"/>
  <c r="AJ81" i="6"/>
  <c r="AK81" i="6"/>
  <c r="AL81" i="6"/>
  <c r="AM81" i="6"/>
  <c r="AV17" i="6"/>
  <c r="AG17" i="6"/>
  <c r="AW17" i="6"/>
  <c r="AM17" i="6"/>
  <c r="BC17" i="6"/>
  <c r="AR17" i="6"/>
  <c r="AS17" i="6"/>
  <c r="AH17" i="6"/>
  <c r="BA17" i="6"/>
  <c r="AN17" i="6"/>
  <c r="BJ17" i="6"/>
  <c r="AO17" i="6"/>
  <c r="AP17" i="6"/>
  <c r="AQ17" i="6"/>
  <c r="AT17" i="6"/>
  <c r="AU17" i="6"/>
  <c r="AX17" i="6"/>
  <c r="AY17" i="6"/>
  <c r="BE17" i="6"/>
  <c r="BF17" i="6"/>
  <c r="BG17" i="6"/>
  <c r="BH17" i="6"/>
  <c r="BI17" i="6"/>
  <c r="AI198" i="6"/>
  <c r="AY198" i="6"/>
  <c r="AJ198" i="6"/>
  <c r="AZ198" i="6"/>
  <c r="AP198" i="6"/>
  <c r="BF198" i="6"/>
  <c r="AU198" i="6"/>
  <c r="AV198" i="6"/>
  <c r="AK198" i="6"/>
  <c r="BD198" i="6"/>
  <c r="AN198" i="6"/>
  <c r="AO198" i="6"/>
  <c r="AQ198" i="6"/>
  <c r="AX198" i="6"/>
  <c r="AM198" i="6"/>
  <c r="AR198" i="6"/>
  <c r="AS198" i="6"/>
  <c r="AT198" i="6"/>
  <c r="AW198" i="6"/>
  <c r="BA198" i="6"/>
  <c r="BB198" i="6"/>
  <c r="BC198" i="6"/>
  <c r="BG198" i="6"/>
  <c r="BH198" i="6"/>
  <c r="BI198" i="6"/>
  <c r="BJ198" i="6"/>
  <c r="AT132" i="6"/>
  <c r="BJ132" i="6"/>
  <c r="AU132" i="6"/>
  <c r="AO132" i="6"/>
  <c r="BG132" i="6"/>
  <c r="AP132" i="6"/>
  <c r="BH132" i="6"/>
  <c r="AX132" i="6"/>
  <c r="AM132" i="6"/>
  <c r="AN132" i="6"/>
  <c r="AY132" i="6"/>
  <c r="AW132" i="6"/>
  <c r="AZ132" i="6"/>
  <c r="BA132" i="6"/>
  <c r="BC132" i="6"/>
  <c r="BD132" i="6"/>
  <c r="AG132" i="6"/>
  <c r="BE132" i="6"/>
  <c r="AH132" i="6"/>
  <c r="BF132" i="6"/>
  <c r="AR132" i="6"/>
  <c r="AS132" i="6"/>
  <c r="AV132" i="6"/>
  <c r="BB132" i="6"/>
  <c r="BI132" i="6"/>
  <c r="AI132" i="6"/>
  <c r="AG28" i="6"/>
  <c r="AW28" i="6"/>
  <c r="AL28" i="6"/>
  <c r="BC28" i="6"/>
  <c r="AM28" i="6"/>
  <c r="BD28" i="6"/>
  <c r="AQ28" i="6"/>
  <c r="BJ28" i="6"/>
  <c r="AR28" i="6"/>
  <c r="AY28" i="6"/>
  <c r="AT28" i="6"/>
  <c r="AU28" i="6"/>
  <c r="BE28" i="6"/>
  <c r="AV28" i="6"/>
  <c r="AX28" i="6"/>
  <c r="BH28" i="6"/>
  <c r="BI28" i="6"/>
  <c r="AH28" i="6"/>
  <c r="AI28" i="6"/>
  <c r="AJ28" i="6"/>
  <c r="AK28" i="6"/>
  <c r="AN28" i="6"/>
  <c r="BB28" i="6"/>
  <c r="BF28" i="6"/>
  <c r="BG28" i="6"/>
  <c r="AU84" i="6"/>
  <c r="AH84" i="6"/>
  <c r="AX84" i="6"/>
  <c r="AY84" i="6"/>
  <c r="AG84" i="6"/>
  <c r="AZ84" i="6"/>
  <c r="AR84" i="6"/>
  <c r="AS84" i="6"/>
  <c r="AI84" i="6"/>
  <c r="BC84" i="6"/>
  <c r="BE84" i="6"/>
  <c r="BF84" i="6"/>
  <c r="AO84" i="6"/>
  <c r="AK84" i="6"/>
  <c r="AL84" i="6"/>
  <c r="AV84" i="6"/>
  <c r="AP84" i="6"/>
  <c r="AQ84" i="6"/>
  <c r="AT84" i="6"/>
  <c r="AW84" i="6"/>
  <c r="BA84" i="6"/>
  <c r="BB84" i="6"/>
  <c r="BD84" i="6"/>
  <c r="BG84" i="6"/>
  <c r="BH84" i="6"/>
  <c r="BI84" i="6"/>
  <c r="BJ84" i="6"/>
  <c r="AJ84" i="6"/>
  <c r="AM84" i="6"/>
  <c r="AN84" i="6"/>
  <c r="BF194" i="6"/>
  <c r="BG9" i="6"/>
  <c r="BF162" i="6"/>
  <c r="BJ102" i="6"/>
  <c r="BI176" i="6"/>
  <c r="AH176" i="6"/>
  <c r="AG189" i="6"/>
  <c r="AK163" i="6"/>
  <c r="BD96" i="6"/>
  <c r="BC144" i="6"/>
  <c r="AU123" i="6"/>
  <c r="AK204" i="6"/>
  <c r="AK48" i="6"/>
  <c r="AM147" i="6"/>
  <c r="AL149" i="6"/>
  <c r="AH11" i="6"/>
  <c r="BD177" i="6"/>
  <c r="BI167" i="6"/>
  <c r="AZ15" i="6"/>
  <c r="AW138" i="6"/>
  <c r="AU77" i="6"/>
  <c r="AJ89" i="6"/>
  <c r="AL2" i="6"/>
  <c r="BC106" i="6"/>
  <c r="AT47" i="6"/>
  <c r="AN85" i="6"/>
  <c r="AW19" i="6"/>
  <c r="BD202" i="6"/>
  <c r="AJ143" i="6"/>
  <c r="BB173" i="6"/>
  <c r="AH35" i="6"/>
  <c r="AZ18" i="6"/>
  <c r="AW58" i="6"/>
  <c r="BG40" i="6"/>
  <c r="AI42" i="6"/>
  <c r="AM135" i="6"/>
  <c r="BC117" i="6"/>
  <c r="AN88" i="6"/>
  <c r="AG72" i="6"/>
  <c r="AI54" i="6"/>
  <c r="AN59" i="6"/>
  <c r="AP121" i="6"/>
  <c r="AP192" i="6"/>
  <c r="AJ201" i="6"/>
  <c r="AR206" i="6"/>
  <c r="AI17" i="6"/>
  <c r="BJ62" i="6"/>
  <c r="AX68" i="6"/>
  <c r="AS139" i="6"/>
  <c r="AS25" i="6"/>
  <c r="AG55" i="6"/>
  <c r="AH198" i="6"/>
  <c r="AK125" i="6"/>
  <c r="AR63" i="6"/>
  <c r="BD188" i="6"/>
  <c r="BI140" i="6"/>
  <c r="BA74" i="6"/>
  <c r="AO28" i="6"/>
  <c r="BJ27" i="6"/>
  <c r="AH27" i="6"/>
  <c r="AR51" i="6"/>
  <c r="BI110" i="6"/>
  <c r="BD24" i="6"/>
  <c r="AV75" i="6"/>
  <c r="BG67" i="6"/>
  <c r="BF27" i="6"/>
  <c r="AG27" i="6"/>
  <c r="AO51" i="6"/>
  <c r="BH110" i="6"/>
  <c r="AL145" i="6"/>
  <c r="BC27" i="6"/>
  <c r="AM51" i="6"/>
  <c r="BG110" i="6"/>
  <c r="BD6" i="6"/>
  <c r="BJ111" i="6"/>
  <c r="BB27" i="6"/>
  <c r="AL51" i="6"/>
  <c r="BF110" i="6"/>
  <c r="BC6" i="6"/>
  <c r="BI95" i="6"/>
  <c r="BI111" i="6"/>
  <c r="BA27" i="6"/>
  <c r="AK51" i="6"/>
  <c r="AR110" i="6"/>
  <c r="BB6" i="6"/>
  <c r="BC95" i="6"/>
  <c r="BA111" i="6"/>
  <c r="AI24" i="6"/>
  <c r="AY24" i="6"/>
  <c r="AJ24" i="6"/>
  <c r="AZ24" i="6"/>
  <c r="AP24" i="6"/>
  <c r="BF24" i="6"/>
  <c r="AJ49" i="6"/>
  <c r="AZ49" i="6"/>
  <c r="AK49" i="6"/>
  <c r="BA49" i="6"/>
  <c r="AQ49" i="6"/>
  <c r="BG49" i="6"/>
  <c r="AY49" i="6"/>
  <c r="AG49" i="6"/>
  <c r="BB49" i="6"/>
  <c r="AO49" i="6"/>
  <c r="BI49" i="6"/>
  <c r="AM67" i="6"/>
  <c r="BC67" i="6"/>
  <c r="AN67" i="6"/>
  <c r="BD67" i="6"/>
  <c r="AT67" i="6"/>
  <c r="BJ67" i="6"/>
  <c r="AH160" i="6"/>
  <c r="AX160" i="6"/>
  <c r="AI160" i="6"/>
  <c r="AY160" i="6"/>
  <c r="AO160" i="6"/>
  <c r="BE160" i="6"/>
  <c r="AJ160" i="6"/>
  <c r="BC160" i="6"/>
  <c r="AK160" i="6"/>
  <c r="BD160" i="6"/>
  <c r="AR160" i="6"/>
  <c r="AI171" i="6"/>
  <c r="AY171" i="6"/>
  <c r="AJ171" i="6"/>
  <c r="AZ171" i="6"/>
  <c r="AP171" i="6"/>
  <c r="BF171" i="6"/>
  <c r="AK171" i="6"/>
  <c r="BD171" i="6"/>
  <c r="AL171" i="6"/>
  <c r="BE171" i="6"/>
  <c r="AS171" i="6"/>
  <c r="AU171" i="6"/>
  <c r="AV171" i="6"/>
  <c r="BG171" i="6"/>
  <c r="BA171" i="6"/>
  <c r="BB171" i="6"/>
  <c r="BC171" i="6"/>
  <c r="BH171" i="6"/>
  <c r="BI171" i="6"/>
  <c r="BJ171" i="6"/>
  <c r="AG171" i="6"/>
  <c r="AH171" i="6"/>
  <c r="AN183" i="6"/>
  <c r="BD183" i="6"/>
  <c r="AO183" i="6"/>
  <c r="BE183" i="6"/>
  <c r="AU183" i="6"/>
  <c r="AT183" i="6"/>
  <c r="AV183" i="6"/>
  <c r="AI183" i="6"/>
  <c r="BB183" i="6"/>
  <c r="AL183" i="6"/>
  <c r="BJ183" i="6"/>
  <c r="AM183" i="6"/>
  <c r="AP183" i="6"/>
  <c r="AQ183" i="6"/>
  <c r="AR183" i="6"/>
  <c r="AS183" i="6"/>
  <c r="AW183" i="6"/>
  <c r="AX183" i="6"/>
  <c r="AJ184" i="6"/>
  <c r="AZ184" i="6"/>
  <c r="AK184" i="6"/>
  <c r="BA184" i="6"/>
  <c r="AQ184" i="6"/>
  <c r="BI184" i="6"/>
  <c r="AR184" i="6"/>
  <c r="BJ184" i="6"/>
  <c r="AX184" i="6"/>
  <c r="AN184" i="6"/>
  <c r="AO184" i="6"/>
  <c r="AW184" i="6"/>
  <c r="AP184" i="6"/>
  <c r="AS184" i="6"/>
  <c r="AT184" i="6"/>
  <c r="AV184" i="6"/>
  <c r="AY184" i="6"/>
  <c r="BB184" i="6"/>
  <c r="BC184" i="6"/>
  <c r="BE184" i="6"/>
  <c r="BF184" i="6"/>
  <c r="BG184" i="6"/>
  <c r="BH184" i="6"/>
  <c r="AH122" i="6"/>
  <c r="AX122" i="6"/>
  <c r="AI122" i="6"/>
  <c r="AY122" i="6"/>
  <c r="AO122" i="6"/>
  <c r="BE122" i="6"/>
  <c r="AW122" i="6"/>
  <c r="AZ122" i="6"/>
  <c r="AM122" i="6"/>
  <c r="BG122" i="6"/>
  <c r="AK122" i="6"/>
  <c r="BI122" i="6"/>
  <c r="AL122" i="6"/>
  <c r="BJ122" i="6"/>
  <c r="AN122" i="6"/>
  <c r="AP122" i="6"/>
  <c r="AQ122" i="6"/>
  <c r="AR122" i="6"/>
  <c r="AT122" i="6"/>
  <c r="AU175" i="6"/>
  <c r="AV175" i="6"/>
  <c r="AL175" i="6"/>
  <c r="BB175" i="6"/>
  <c r="AR175" i="6"/>
  <c r="AS175" i="6"/>
  <c r="AH175" i="6"/>
  <c r="BA175" i="6"/>
  <c r="BC175" i="6"/>
  <c r="BD175" i="6"/>
  <c r="AG175" i="6"/>
  <c r="BE175" i="6"/>
  <c r="AN175" i="6"/>
  <c r="BJ175" i="6"/>
  <c r="AZ175" i="6"/>
  <c r="BF175" i="6"/>
  <c r="BG175" i="6"/>
  <c r="BH175" i="6"/>
  <c r="BI175" i="6"/>
  <c r="AI175" i="6"/>
  <c r="AJ175" i="6"/>
  <c r="AK175" i="6"/>
  <c r="AP145" i="6"/>
  <c r="BF145" i="6"/>
  <c r="AQ145" i="6"/>
  <c r="BG145" i="6"/>
  <c r="AS145" i="6"/>
  <c r="AT145" i="6"/>
  <c r="AH145" i="6"/>
  <c r="AZ145" i="6"/>
  <c r="AM145" i="6"/>
  <c r="BJ145" i="6"/>
  <c r="AN145" i="6"/>
  <c r="AX145" i="6"/>
  <c r="AI145" i="6"/>
  <c r="BI145" i="6"/>
  <c r="AJ145" i="6"/>
  <c r="AK145" i="6"/>
  <c r="AO145" i="6"/>
  <c r="AR145" i="6"/>
  <c r="AU145" i="6"/>
  <c r="AV145" i="6"/>
  <c r="BE145" i="6"/>
  <c r="BH145" i="6"/>
  <c r="AS182" i="6"/>
  <c r="BI182" i="6"/>
  <c r="AV182" i="6"/>
  <c r="AO182" i="6"/>
  <c r="BG182" i="6"/>
  <c r="AP182" i="6"/>
  <c r="BH182" i="6"/>
  <c r="AR182" i="6"/>
  <c r="AT182" i="6"/>
  <c r="AG182" i="6"/>
  <c r="BA182" i="6"/>
  <c r="AZ182" i="6"/>
  <c r="BB182" i="6"/>
  <c r="AK182" i="6"/>
  <c r="AU182" i="6"/>
  <c r="AW182" i="6"/>
  <c r="BF182" i="6"/>
  <c r="AH182" i="6"/>
  <c r="AI182" i="6"/>
  <c r="AJ182" i="6"/>
  <c r="AL182" i="6"/>
  <c r="AM182" i="6"/>
  <c r="AN182" i="6"/>
  <c r="AI119" i="6"/>
  <c r="AY119" i="6"/>
  <c r="AP119" i="6"/>
  <c r="BG119" i="6"/>
  <c r="AQ119" i="6"/>
  <c r="BH119" i="6"/>
  <c r="AZ119" i="6"/>
  <c r="AG119" i="6"/>
  <c r="BA119" i="6"/>
  <c r="AN119" i="6"/>
  <c r="BI119" i="6"/>
  <c r="AM119" i="6"/>
  <c r="AO119" i="6"/>
  <c r="AW119" i="6"/>
  <c r="AU119" i="6"/>
  <c r="AV119" i="6"/>
  <c r="BF119" i="6"/>
  <c r="AH119" i="6"/>
  <c r="AJ119" i="6"/>
  <c r="AK119" i="6"/>
  <c r="AL119" i="6"/>
  <c r="AR119" i="6"/>
  <c r="AS119" i="6"/>
  <c r="AT119" i="6"/>
  <c r="AX119" i="6"/>
  <c r="BB119" i="6"/>
  <c r="BC119" i="6"/>
  <c r="BD119" i="6"/>
  <c r="BE119" i="6"/>
  <c r="BJ119" i="6"/>
  <c r="AG191" i="6"/>
  <c r="AW191" i="6"/>
  <c r="AJ191" i="6"/>
  <c r="AZ191" i="6"/>
  <c r="AO191" i="6"/>
  <c r="BG191" i="6"/>
  <c r="AP191" i="6"/>
  <c r="BH191" i="6"/>
  <c r="AT191" i="6"/>
  <c r="AU191" i="6"/>
  <c r="AH191" i="6"/>
  <c r="BC191" i="6"/>
  <c r="AI191" i="6"/>
  <c r="BI191" i="6"/>
  <c r="AK191" i="6"/>
  <c r="BJ191" i="6"/>
  <c r="AS191" i="6"/>
  <c r="BB191" i="6"/>
  <c r="BD191" i="6"/>
  <c r="AL191" i="6"/>
  <c r="BE191" i="6"/>
  <c r="BF191" i="6"/>
  <c r="AM191" i="6"/>
  <c r="AN191" i="6"/>
  <c r="AQ191" i="6"/>
  <c r="AR191" i="6"/>
  <c r="AV191" i="6"/>
  <c r="AX191" i="6"/>
  <c r="AY191" i="6"/>
  <c r="BA191" i="6"/>
  <c r="AX24" i="6"/>
  <c r="BA67" i="6"/>
  <c r="AH67" i="6"/>
  <c r="AQ160" i="6"/>
  <c r="BE49" i="6"/>
  <c r="BJ51" i="6"/>
  <c r="BH183" i="6"/>
  <c r="AS75" i="6"/>
  <c r="BI75" i="6"/>
  <c r="AT75" i="6"/>
  <c r="BJ75" i="6"/>
  <c r="AJ75" i="6"/>
  <c r="AZ75" i="6"/>
  <c r="AT110" i="6"/>
  <c r="BJ110" i="6"/>
  <c r="AU110" i="6"/>
  <c r="AK110" i="6"/>
  <c r="BA110" i="6"/>
  <c r="AI110" i="6"/>
  <c r="BC110" i="6"/>
  <c r="AJ110" i="6"/>
  <c r="BD110" i="6"/>
  <c r="AQ110" i="6"/>
  <c r="AS110" i="6"/>
  <c r="AV110" i="6"/>
  <c r="AW110" i="6"/>
  <c r="AX110" i="6"/>
  <c r="AY110" i="6"/>
  <c r="AZ110" i="6"/>
  <c r="BB110" i="6"/>
  <c r="BE110" i="6"/>
  <c r="AN27" i="6"/>
  <c r="BD27" i="6"/>
  <c r="AO27" i="6"/>
  <c r="BE27" i="6"/>
  <c r="AU27" i="6"/>
  <c r="AL27" i="6"/>
  <c r="BG27" i="6"/>
  <c r="AM27" i="6"/>
  <c r="BH27" i="6"/>
  <c r="AP27" i="6"/>
  <c r="BI27" i="6"/>
  <c r="AV27" i="6"/>
  <c r="AP51" i="6"/>
  <c r="BF51" i="6"/>
  <c r="AQ51" i="6"/>
  <c r="BG51" i="6"/>
  <c r="AG51" i="6"/>
  <c r="AW51" i="6"/>
  <c r="AZ51" i="6"/>
  <c r="AH51" i="6"/>
  <c r="BA51" i="6"/>
  <c r="AI51" i="6"/>
  <c r="BB51" i="6"/>
  <c r="AN51" i="6"/>
  <c r="BI51" i="6"/>
  <c r="AQ6" i="6"/>
  <c r="BG6" i="6"/>
  <c r="AR6" i="6"/>
  <c r="BH6" i="6"/>
  <c r="AH6" i="6"/>
  <c r="AX6" i="6"/>
  <c r="AW6" i="6"/>
  <c r="AY6" i="6"/>
  <c r="AL6" i="6"/>
  <c r="BE6" i="6"/>
  <c r="AM6" i="6"/>
  <c r="AN6" i="6"/>
  <c r="AO6" i="6"/>
  <c r="AS6" i="6"/>
  <c r="AU6" i="6"/>
  <c r="AV6" i="6"/>
  <c r="BF6" i="6"/>
  <c r="BI6" i="6"/>
  <c r="BJ6" i="6"/>
  <c r="AG6" i="6"/>
  <c r="AI6" i="6"/>
  <c r="AJ6" i="6"/>
  <c r="AK95" i="6"/>
  <c r="AT95" i="6"/>
  <c r="BJ95" i="6"/>
  <c r="AU95" i="6"/>
  <c r="AO95" i="6"/>
  <c r="BG95" i="6"/>
  <c r="AP95" i="6"/>
  <c r="BH95" i="6"/>
  <c r="AX95" i="6"/>
  <c r="AH95" i="6"/>
  <c r="BD95" i="6"/>
  <c r="AI95" i="6"/>
  <c r="BE95" i="6"/>
  <c r="AR95" i="6"/>
  <c r="AV95" i="6"/>
  <c r="AW95" i="6"/>
  <c r="BF95" i="6"/>
  <c r="AL95" i="6"/>
  <c r="AM95" i="6"/>
  <c r="AN95" i="6"/>
  <c r="AQ95" i="6"/>
  <c r="AS95" i="6"/>
  <c r="AY95" i="6"/>
  <c r="AZ95" i="6"/>
  <c r="BA95" i="6"/>
  <c r="AG95" i="6"/>
  <c r="AJ95" i="6"/>
  <c r="AU41" i="6"/>
  <c r="AH41" i="6"/>
  <c r="AX41" i="6"/>
  <c r="AV41" i="6"/>
  <c r="AW41" i="6"/>
  <c r="AJ41" i="6"/>
  <c r="BD41" i="6"/>
  <c r="AK41" i="6"/>
  <c r="BE41" i="6"/>
  <c r="AQ41" i="6"/>
  <c r="AT41" i="6"/>
  <c r="AY41" i="6"/>
  <c r="AG41" i="6"/>
  <c r="BG41" i="6"/>
  <c r="AS41" i="6"/>
  <c r="AZ41" i="6"/>
  <c r="BI41" i="6"/>
  <c r="AL41" i="6"/>
  <c r="AM41" i="6"/>
  <c r="AN41" i="6"/>
  <c r="AO41" i="6"/>
  <c r="AP41" i="6"/>
  <c r="AR41" i="6"/>
  <c r="BA41" i="6"/>
  <c r="BB41" i="6"/>
  <c r="BC41" i="6"/>
  <c r="BF41" i="6"/>
  <c r="BH41" i="6"/>
  <c r="BJ41" i="6"/>
  <c r="AI111" i="6"/>
  <c r="AY111" i="6"/>
  <c r="AL111" i="6"/>
  <c r="BB111" i="6"/>
  <c r="AU111" i="6"/>
  <c r="AV111" i="6"/>
  <c r="AK111" i="6"/>
  <c r="BF111" i="6"/>
  <c r="AM111" i="6"/>
  <c r="BG111" i="6"/>
  <c r="AS111" i="6"/>
  <c r="BD111" i="6"/>
  <c r="BE111" i="6"/>
  <c r="AP111" i="6"/>
  <c r="BC111" i="6"/>
  <c r="BH111" i="6"/>
  <c r="AN111" i="6"/>
  <c r="AG111" i="6"/>
  <c r="AH111" i="6"/>
  <c r="AJ111" i="6"/>
  <c r="AO111" i="6"/>
  <c r="AQ111" i="6"/>
  <c r="AR111" i="6"/>
  <c r="BH75" i="6"/>
  <c r="AO75" i="6"/>
  <c r="AP160" i="6"/>
  <c r="BD49" i="6"/>
  <c r="AY27" i="6"/>
  <c r="BH51" i="6"/>
  <c r="BH122" i="6"/>
  <c r="AO110" i="6"/>
  <c r="BG183" i="6"/>
  <c r="AX171" i="6"/>
  <c r="AZ6" i="6"/>
  <c r="AX111" i="6"/>
  <c r="AV24" i="6"/>
  <c r="BG75" i="6"/>
  <c r="AN75" i="6"/>
  <c r="AY67" i="6"/>
  <c r="AN160" i="6"/>
  <c r="BC49" i="6"/>
  <c r="AX27" i="6"/>
  <c r="BE51" i="6"/>
  <c r="BF122" i="6"/>
  <c r="AN110" i="6"/>
  <c r="BF183" i="6"/>
  <c r="AW171" i="6"/>
  <c r="AT6" i="6"/>
  <c r="AW111" i="6"/>
  <c r="AU24" i="6"/>
  <c r="BF75" i="6"/>
  <c r="AM75" i="6"/>
  <c r="AX67" i="6"/>
  <c r="BJ160" i="6"/>
  <c r="AM160" i="6"/>
  <c r="AX49" i="6"/>
  <c r="AW27" i="6"/>
  <c r="BD51" i="6"/>
  <c r="BD122" i="6"/>
  <c r="AM110" i="6"/>
  <c r="BC183" i="6"/>
  <c r="AT171" i="6"/>
  <c r="AP6" i="6"/>
  <c r="AI41" i="6"/>
  <c r="AT111" i="6"/>
  <c r="AT90" i="6"/>
  <c r="BJ90" i="6"/>
  <c r="AU90" i="6"/>
  <c r="AK90" i="6"/>
  <c r="BA90" i="6"/>
  <c r="AN157" i="6"/>
  <c r="BD157" i="6"/>
  <c r="AO157" i="6"/>
  <c r="BE157" i="6"/>
  <c r="AU157" i="6"/>
  <c r="AP186" i="6"/>
  <c r="BF186" i="6"/>
  <c r="AQ186" i="6"/>
  <c r="BG186" i="6"/>
  <c r="AG186" i="6"/>
  <c r="AW186" i="6"/>
  <c r="AR148" i="6"/>
  <c r="BH148" i="6"/>
  <c r="AS148" i="6"/>
  <c r="BI148" i="6"/>
  <c r="AI148" i="6"/>
  <c r="AY148" i="6"/>
  <c r="AH133" i="6"/>
  <c r="AX133" i="6"/>
  <c r="AI133" i="6"/>
  <c r="AY133" i="6"/>
  <c r="AO133" i="6"/>
  <c r="BE133" i="6"/>
  <c r="AL130" i="6"/>
  <c r="BB130" i="6"/>
  <c r="AM130" i="6"/>
  <c r="BC130" i="6"/>
  <c r="AT130" i="6"/>
  <c r="AU130" i="6"/>
  <c r="AI130" i="6"/>
  <c r="BA130" i="6"/>
  <c r="AV87" i="6"/>
  <c r="AG87" i="6"/>
  <c r="AW87" i="6"/>
  <c r="AM87" i="6"/>
  <c r="BC87" i="6"/>
  <c r="AG46" i="6"/>
  <c r="AW46" i="6"/>
  <c r="AH46" i="6"/>
  <c r="AX46" i="6"/>
  <c r="AN46" i="6"/>
  <c r="BD46" i="6"/>
  <c r="AY46" i="6"/>
  <c r="AZ46" i="6"/>
  <c r="AM46" i="6"/>
  <c r="BG46" i="6"/>
  <c r="AV46" i="6"/>
  <c r="BA46" i="6"/>
  <c r="AK46" i="6"/>
  <c r="BI46" i="6"/>
  <c r="AU129" i="6"/>
  <c r="AV129" i="6"/>
  <c r="AL129" i="6"/>
  <c r="BB129" i="6"/>
  <c r="AO129" i="6"/>
  <c r="BH129" i="6"/>
  <c r="AP129" i="6"/>
  <c r="BI129" i="6"/>
  <c r="AX129" i="6"/>
  <c r="AG129" i="6"/>
  <c r="BD129" i="6"/>
  <c r="AH129" i="6"/>
  <c r="BE129" i="6"/>
  <c r="AQ129" i="6"/>
  <c r="AR52" i="6"/>
  <c r="BH52" i="6"/>
  <c r="AS52" i="6"/>
  <c r="BI52" i="6"/>
  <c r="AI52" i="6"/>
  <c r="BA52" i="6"/>
  <c r="AJ52" i="6"/>
  <c r="BB52" i="6"/>
  <c r="AP52" i="6"/>
  <c r="BJ52" i="6"/>
  <c r="AV52" i="6"/>
  <c r="AW52" i="6"/>
  <c r="AH52" i="6"/>
  <c r="BE52" i="6"/>
  <c r="AY52" i="6"/>
  <c r="AZ52" i="6"/>
  <c r="BC52" i="6"/>
  <c r="BF52" i="6"/>
  <c r="BG52" i="6"/>
  <c r="AG52" i="6"/>
  <c r="AK52" i="6"/>
  <c r="AQ66" i="6"/>
  <c r="BG66" i="6"/>
  <c r="AP66" i="6"/>
  <c r="BH66" i="6"/>
  <c r="AR66" i="6"/>
  <c r="BI66" i="6"/>
  <c r="AI66" i="6"/>
  <c r="BB66" i="6"/>
  <c r="AJ66" i="6"/>
  <c r="BC66" i="6"/>
  <c r="AS66" i="6"/>
  <c r="AM66" i="6"/>
  <c r="AN66" i="6"/>
  <c r="AX66" i="6"/>
  <c r="AW66" i="6"/>
  <c r="AY66" i="6"/>
  <c r="BJ66" i="6"/>
  <c r="AO66" i="6"/>
  <c r="AT66" i="6"/>
  <c r="AU66" i="6"/>
  <c r="AV66" i="6"/>
  <c r="AZ66" i="6"/>
  <c r="BA66" i="6"/>
  <c r="BD66" i="6"/>
  <c r="BE66" i="6"/>
  <c r="AO32" i="6"/>
  <c r="BE32" i="6"/>
  <c r="AR32" i="6"/>
  <c r="BH32" i="6"/>
  <c r="AW32" i="6"/>
  <c r="AX32" i="6"/>
  <c r="AZ32" i="6"/>
  <c r="AG32" i="6"/>
  <c r="BA32" i="6"/>
  <c r="AM32" i="6"/>
  <c r="BI32" i="6"/>
  <c r="AQ32" i="6"/>
  <c r="AS32" i="6"/>
  <c r="BC32" i="6"/>
  <c r="BJ32" i="6"/>
  <c r="AH32" i="6"/>
  <c r="AP32" i="6"/>
  <c r="BB32" i="6"/>
  <c r="BD32" i="6"/>
  <c r="BF32" i="6"/>
  <c r="BG32" i="6"/>
  <c r="AI32" i="6"/>
  <c r="BB168" i="6"/>
  <c r="BH180" i="6"/>
  <c r="AR180" i="6"/>
  <c r="BD8" i="6"/>
  <c r="AN8" i="6"/>
  <c r="AQ148" i="6"/>
  <c r="BD158" i="6"/>
  <c r="BE186" i="6"/>
  <c r="AL186" i="6"/>
  <c r="AY203" i="6"/>
  <c r="AZ157" i="6"/>
  <c r="AG157" i="6"/>
  <c r="BC36" i="6"/>
  <c r="AW90" i="6"/>
  <c r="AX22" i="6"/>
  <c r="AS154" i="6"/>
  <c r="BD146" i="6"/>
  <c r="BG133" i="6"/>
  <c r="AM133" i="6"/>
  <c r="AX87" i="6"/>
  <c r="BG38" i="6"/>
  <c r="AN38" i="6"/>
  <c r="BB69" i="6"/>
  <c r="BE130" i="6"/>
  <c r="AG130" i="6"/>
  <c r="BA103" i="6"/>
  <c r="BJ97" i="6"/>
  <c r="AG79" i="6"/>
  <c r="AL46" i="6"/>
  <c r="AK129" i="6"/>
  <c r="AK131" i="6"/>
  <c r="BF14" i="6"/>
  <c r="BH26" i="6"/>
  <c r="AT52" i="6"/>
  <c r="AT34" i="6"/>
  <c r="AL66" i="6"/>
  <c r="AO83" i="6"/>
  <c r="AY142" i="6"/>
  <c r="BD14" i="6"/>
  <c r="AW26" i="6"/>
  <c r="AO52" i="6"/>
  <c r="AM34" i="6"/>
  <c r="AH66" i="6"/>
  <c r="AM83" i="6"/>
  <c r="AW142" i="6"/>
  <c r="BC14" i="6"/>
  <c r="BF33" i="6"/>
  <c r="AP26" i="6"/>
  <c r="AN52" i="6"/>
  <c r="AJ34" i="6"/>
  <c r="AG66" i="6"/>
  <c r="AV142" i="6"/>
  <c r="BI44" i="6"/>
  <c r="AZ14" i="6"/>
  <c r="AY33" i="6"/>
  <c r="AO26" i="6"/>
  <c r="AM52" i="6"/>
  <c r="AR142" i="6"/>
  <c r="BD44" i="6"/>
  <c r="BE131" i="6"/>
  <c r="AY14" i="6"/>
  <c r="AX33" i="6"/>
  <c r="AL52" i="6"/>
  <c r="BJ104" i="6"/>
  <c r="AN142" i="6"/>
  <c r="AR91" i="6"/>
  <c r="BH91" i="6"/>
  <c r="AS91" i="6"/>
  <c r="BI91" i="6"/>
  <c r="AI91" i="6"/>
  <c r="AY91" i="6"/>
  <c r="AN36" i="6"/>
  <c r="BD36" i="6"/>
  <c r="AO36" i="6"/>
  <c r="BE36" i="6"/>
  <c r="AU36" i="6"/>
  <c r="AH158" i="6"/>
  <c r="AX158" i="6"/>
  <c r="AI158" i="6"/>
  <c r="AY158" i="6"/>
  <c r="AO158" i="6"/>
  <c r="BE158" i="6"/>
  <c r="AR97" i="6"/>
  <c r="BH97" i="6"/>
  <c r="AS97" i="6"/>
  <c r="BI97" i="6"/>
  <c r="AI97" i="6"/>
  <c r="AY97" i="6"/>
  <c r="AT97" i="6"/>
  <c r="AU97" i="6"/>
  <c r="AH97" i="6"/>
  <c r="BB97" i="6"/>
  <c r="AP146" i="6"/>
  <c r="BF146" i="6"/>
  <c r="AQ146" i="6"/>
  <c r="BG146" i="6"/>
  <c r="AG146" i="6"/>
  <c r="AW146" i="6"/>
  <c r="AN69" i="6"/>
  <c r="BD69" i="6"/>
  <c r="AO69" i="6"/>
  <c r="BE69" i="6"/>
  <c r="AU69" i="6"/>
  <c r="AK10" i="6"/>
  <c r="BA10" i="6"/>
  <c r="AL10" i="6"/>
  <c r="BB10" i="6"/>
  <c r="AR10" i="6"/>
  <c r="BH10" i="6"/>
  <c r="AW10" i="6"/>
  <c r="AX10" i="6"/>
  <c r="AM10" i="6"/>
  <c r="BF10" i="6"/>
  <c r="AN10" i="6"/>
  <c r="AO10" i="6"/>
  <c r="AV10" i="6"/>
  <c r="AO120" i="6"/>
  <c r="BE120" i="6"/>
  <c r="AP120" i="6"/>
  <c r="AV120" i="6"/>
  <c r="AS120" i="6"/>
  <c r="AT120" i="6"/>
  <c r="AH120" i="6"/>
  <c r="BA120" i="6"/>
  <c r="BB120" i="6"/>
  <c r="BC120" i="6"/>
  <c r="AM120" i="6"/>
  <c r="BJ120" i="6"/>
  <c r="AH26" i="6"/>
  <c r="AX26" i="6"/>
  <c r="AI26" i="6"/>
  <c r="AY26" i="6"/>
  <c r="AK26" i="6"/>
  <c r="BC26" i="6"/>
  <c r="AL26" i="6"/>
  <c r="BD26" i="6"/>
  <c r="AR26" i="6"/>
  <c r="BJ26" i="6"/>
  <c r="AU26" i="6"/>
  <c r="AV26" i="6"/>
  <c r="AG26" i="6"/>
  <c r="BF26" i="6"/>
  <c r="AQ26" i="6"/>
  <c r="AS26" i="6"/>
  <c r="AT26" i="6"/>
  <c r="AZ26" i="6"/>
  <c r="BA26" i="6"/>
  <c r="BB26" i="6"/>
  <c r="BE26" i="6"/>
  <c r="AH34" i="6"/>
  <c r="AX34" i="6"/>
  <c r="AI34" i="6"/>
  <c r="AY34" i="6"/>
  <c r="AK34" i="6"/>
  <c r="BC34" i="6"/>
  <c r="AL34" i="6"/>
  <c r="BD34" i="6"/>
  <c r="AR34" i="6"/>
  <c r="BJ34" i="6"/>
  <c r="AP34" i="6"/>
  <c r="AQ34" i="6"/>
  <c r="AZ34" i="6"/>
  <c r="AO34" i="6"/>
  <c r="AS34" i="6"/>
  <c r="BB34" i="6"/>
  <c r="AU34" i="6"/>
  <c r="AV34" i="6"/>
  <c r="AW34" i="6"/>
  <c r="BA34" i="6"/>
  <c r="BE34" i="6"/>
  <c r="BF34" i="6"/>
  <c r="BG34" i="6"/>
  <c r="BH34" i="6"/>
  <c r="AG83" i="6"/>
  <c r="AW83" i="6"/>
  <c r="AJ83" i="6"/>
  <c r="AZ83" i="6"/>
  <c r="AK83" i="6"/>
  <c r="BC83" i="6"/>
  <c r="AL83" i="6"/>
  <c r="BD83" i="6"/>
  <c r="AT83" i="6"/>
  <c r="AU83" i="6"/>
  <c r="AH83" i="6"/>
  <c r="BE83" i="6"/>
  <c r="AQ83" i="6"/>
  <c r="AR83" i="6"/>
  <c r="BB83" i="6"/>
  <c r="AX83" i="6"/>
  <c r="AY83" i="6"/>
  <c r="BJ83" i="6"/>
  <c r="AP83" i="6"/>
  <c r="AS83" i="6"/>
  <c r="AV83" i="6"/>
  <c r="BA83" i="6"/>
  <c r="BF83" i="6"/>
  <c r="BG83" i="6"/>
  <c r="BH83" i="6"/>
  <c r="BI83" i="6"/>
  <c r="AQ44" i="6"/>
  <c r="BG44" i="6"/>
  <c r="AT44" i="6"/>
  <c r="BJ44" i="6"/>
  <c r="AM44" i="6"/>
  <c r="BE44" i="6"/>
  <c r="AN44" i="6"/>
  <c r="BF44" i="6"/>
  <c r="AZ44" i="6"/>
  <c r="AG44" i="6"/>
  <c r="BA44" i="6"/>
  <c r="AO44" i="6"/>
  <c r="AV44" i="6"/>
  <c r="AW44" i="6"/>
  <c r="AH44" i="6"/>
  <c r="BH44" i="6"/>
  <c r="AX44" i="6"/>
  <c r="AY44" i="6"/>
  <c r="AI44" i="6"/>
  <c r="AJ44" i="6"/>
  <c r="AK44" i="6"/>
  <c r="AL44" i="6"/>
  <c r="AP44" i="6"/>
  <c r="AR44" i="6"/>
  <c r="AS44" i="6"/>
  <c r="AV168" i="6"/>
  <c r="BB180" i="6"/>
  <c r="AL180" i="6"/>
  <c r="AX8" i="6"/>
  <c r="AH8" i="6"/>
  <c r="BD148" i="6"/>
  <c r="AK148" i="6"/>
  <c r="AV158" i="6"/>
  <c r="BG91" i="6"/>
  <c r="AN91" i="6"/>
  <c r="AY186" i="6"/>
  <c r="BJ203" i="6"/>
  <c r="AS157" i="6"/>
  <c r="AW36" i="6"/>
  <c r="BH90" i="6"/>
  <c r="AO90" i="6"/>
  <c r="BF154" i="6"/>
  <c r="AX146" i="6"/>
  <c r="AZ133" i="6"/>
  <c r="BI87" i="6"/>
  <c r="AP87" i="6"/>
  <c r="AZ38" i="6"/>
  <c r="AV69" i="6"/>
  <c r="AV130" i="6"/>
  <c r="BA97" i="6"/>
  <c r="AZ120" i="6"/>
  <c r="BD10" i="6"/>
  <c r="BE46" i="6"/>
  <c r="BC129" i="6"/>
  <c r="AM26" i="6"/>
  <c r="BB44" i="6"/>
  <c r="AL22" i="6"/>
  <c r="BB22" i="6"/>
  <c r="AM22" i="6"/>
  <c r="BC22" i="6"/>
  <c r="AS22" i="6"/>
  <c r="BI22" i="6"/>
  <c r="AV203" i="6"/>
  <c r="AG203" i="6"/>
  <c r="AW203" i="6"/>
  <c r="AM203" i="6"/>
  <c r="BC203" i="6"/>
  <c r="AT38" i="6"/>
  <c r="BJ38" i="6"/>
  <c r="AU38" i="6"/>
  <c r="AK38" i="6"/>
  <c r="BA38" i="6"/>
  <c r="AV103" i="6"/>
  <c r="AG103" i="6"/>
  <c r="AW103" i="6"/>
  <c r="AM103" i="6"/>
  <c r="BC103" i="6"/>
  <c r="AO103" i="6"/>
  <c r="BH103" i="6"/>
  <c r="AP103" i="6"/>
  <c r="BI103" i="6"/>
  <c r="AX103" i="6"/>
  <c r="AV154" i="6"/>
  <c r="AG154" i="6"/>
  <c r="AW154" i="6"/>
  <c r="AM154" i="6"/>
  <c r="BC154" i="6"/>
  <c r="AK33" i="6"/>
  <c r="BA33" i="6"/>
  <c r="AL33" i="6"/>
  <c r="BB33" i="6"/>
  <c r="AR33" i="6"/>
  <c r="BH33" i="6"/>
  <c r="AS33" i="6"/>
  <c r="AT33" i="6"/>
  <c r="AG33" i="6"/>
  <c r="AZ33" i="6"/>
  <c r="BC33" i="6"/>
  <c r="BD33" i="6"/>
  <c r="BE33" i="6"/>
  <c r="AI33" i="6"/>
  <c r="BG33" i="6"/>
  <c r="AJ33" i="6"/>
  <c r="BI33" i="6"/>
  <c r="AM33" i="6"/>
  <c r="BJ33" i="6"/>
  <c r="AN33" i="6"/>
  <c r="AS131" i="6"/>
  <c r="BI131" i="6"/>
  <c r="AT131" i="6"/>
  <c r="BJ131" i="6"/>
  <c r="AJ131" i="6"/>
  <c r="AZ131" i="6"/>
  <c r="AY131" i="6"/>
  <c r="AG131" i="6"/>
  <c r="BA131" i="6"/>
  <c r="AN131" i="6"/>
  <c r="BG131" i="6"/>
  <c r="AL131" i="6"/>
  <c r="AM131" i="6"/>
  <c r="AV131" i="6"/>
  <c r="AM79" i="6"/>
  <c r="BC79" i="6"/>
  <c r="AN79" i="6"/>
  <c r="BD79" i="6"/>
  <c r="AT79" i="6"/>
  <c r="BJ79" i="6"/>
  <c r="AI79" i="6"/>
  <c r="BB79" i="6"/>
  <c r="AJ79" i="6"/>
  <c r="BE79" i="6"/>
  <c r="AR79" i="6"/>
  <c r="AH79" i="6"/>
  <c r="BH79" i="6"/>
  <c r="AK79" i="6"/>
  <c r="BI79" i="6"/>
  <c r="AU79" i="6"/>
  <c r="AQ14" i="6"/>
  <c r="BG14" i="6"/>
  <c r="AR14" i="6"/>
  <c r="BH14" i="6"/>
  <c r="AH14" i="6"/>
  <c r="AX14" i="6"/>
  <c r="AG14" i="6"/>
  <c r="BA14" i="6"/>
  <c r="AI14" i="6"/>
  <c r="BB14" i="6"/>
  <c r="AO14" i="6"/>
  <c r="BJ14" i="6"/>
  <c r="AK14" i="6"/>
  <c r="BI14" i="6"/>
  <c r="AL14" i="6"/>
  <c r="AM14" i="6"/>
  <c r="AP14" i="6"/>
  <c r="AS14" i="6"/>
  <c r="AT14" i="6"/>
  <c r="AU14" i="6"/>
  <c r="AV104" i="6"/>
  <c r="AG104" i="6"/>
  <c r="AW104" i="6"/>
  <c r="AU104" i="6"/>
  <c r="AX104" i="6"/>
  <c r="AL104" i="6"/>
  <c r="BD104" i="6"/>
  <c r="AY104" i="6"/>
  <c r="AZ104" i="6"/>
  <c r="AK104" i="6"/>
  <c r="BG104" i="6"/>
  <c r="AQ104" i="6"/>
  <c r="AR104" i="6"/>
  <c r="BE104" i="6"/>
  <c r="AO104" i="6"/>
  <c r="AP104" i="6"/>
  <c r="AS104" i="6"/>
  <c r="AT104" i="6"/>
  <c r="BA104" i="6"/>
  <c r="BB104" i="6"/>
  <c r="BC104" i="6"/>
  <c r="BF104" i="6"/>
  <c r="AQ142" i="6"/>
  <c r="BG142" i="6"/>
  <c r="AT142" i="6"/>
  <c r="BJ142" i="6"/>
  <c r="AI142" i="6"/>
  <c r="BA142" i="6"/>
  <c r="AJ142" i="6"/>
  <c r="BB142" i="6"/>
  <c r="AZ142" i="6"/>
  <c r="AG142" i="6"/>
  <c r="BC142" i="6"/>
  <c r="AO142" i="6"/>
  <c r="BE142" i="6"/>
  <c r="BF142" i="6"/>
  <c r="AP142" i="6"/>
  <c r="AS142" i="6"/>
  <c r="AU142" i="6"/>
  <c r="BH142" i="6"/>
  <c r="BD142" i="6"/>
  <c r="BI142" i="6"/>
  <c r="AH142" i="6"/>
  <c r="AK142" i="6"/>
  <c r="AO166" i="6"/>
  <c r="BE166" i="6"/>
  <c r="AR166" i="6"/>
  <c r="BH166" i="6"/>
  <c r="AG166" i="6"/>
  <c r="AY166" i="6"/>
  <c r="AH166" i="6"/>
  <c r="AZ166" i="6"/>
  <c r="AN166" i="6"/>
  <c r="BJ166" i="6"/>
  <c r="AP166" i="6"/>
  <c r="AW166" i="6"/>
  <c r="BA166" i="6"/>
  <c r="BB166" i="6"/>
  <c r="AK166" i="6"/>
  <c r="AU166" i="6"/>
  <c r="AV166" i="6"/>
  <c r="BI166" i="6"/>
  <c r="BG166" i="6"/>
  <c r="AI166" i="6"/>
  <c r="AJ166" i="6"/>
  <c r="AL166" i="6"/>
  <c r="AU168" i="6"/>
  <c r="BA180" i="6"/>
  <c r="AW8" i="6"/>
  <c r="AG8" i="6"/>
  <c r="BC148" i="6"/>
  <c r="AJ148" i="6"/>
  <c r="AU158" i="6"/>
  <c r="BF91" i="6"/>
  <c r="AM91" i="6"/>
  <c r="AX186" i="6"/>
  <c r="BI203" i="6"/>
  <c r="AP203" i="6"/>
  <c r="AR157" i="6"/>
  <c r="AV36" i="6"/>
  <c r="BG90" i="6"/>
  <c r="AN90" i="6"/>
  <c r="BJ22" i="6"/>
  <c r="AP22" i="6"/>
  <c r="BE154" i="6"/>
  <c r="AK154" i="6"/>
  <c r="AV146" i="6"/>
  <c r="AW133" i="6"/>
  <c r="BH87" i="6"/>
  <c r="AO87" i="6"/>
  <c r="AY38" i="6"/>
  <c r="AT69" i="6"/>
  <c r="AS130" i="6"/>
  <c r="AQ103" i="6"/>
  <c r="AZ97" i="6"/>
  <c r="AY120" i="6"/>
  <c r="AY79" i="6"/>
  <c r="BC10" i="6"/>
  <c r="BC46" i="6"/>
  <c r="BA129" i="6"/>
  <c r="BC131" i="6"/>
  <c r="AV14" i="6"/>
  <c r="AV33" i="6"/>
  <c r="AJ26" i="6"/>
  <c r="BH104" i="6"/>
  <c r="AL142" i="6"/>
  <c r="AU44" i="6"/>
  <c r="E8" i="5"/>
  <c r="F159" i="1" s="1"/>
  <c r="G159" i="1" s="1"/>
  <c r="F111" i="1"/>
  <c r="G111" i="1" s="1"/>
  <c r="E7" i="5"/>
  <c r="F54" i="1" s="1"/>
  <c r="F143" i="1"/>
  <c r="G143" i="1" s="1"/>
  <c r="E2" i="5"/>
  <c r="F49" i="1" s="1"/>
  <c r="E5" i="5"/>
  <c r="F77" i="1" s="1"/>
  <c r="G77" i="1" s="1"/>
  <c r="F191" i="1"/>
  <c r="G191" i="1" s="1"/>
  <c r="E6" i="5"/>
  <c r="F172" i="1" s="1"/>
  <c r="G172" i="1" s="1"/>
  <c r="F95" i="1"/>
  <c r="G95" i="1" s="1"/>
  <c r="F79" i="1"/>
  <c r="F47" i="1"/>
  <c r="G47" i="1" s="1"/>
  <c r="F2" i="1"/>
  <c r="F78" i="1"/>
  <c r="G78" i="1" s="1"/>
  <c r="E4" i="5"/>
  <c r="F13" i="1" s="1"/>
  <c r="E3" i="5"/>
  <c r="F201" i="1" s="1"/>
  <c r="F127" i="1"/>
  <c r="G127" i="1" s="1"/>
  <c r="F40" i="1"/>
  <c r="G40" i="1" s="1"/>
  <c r="F31" i="1"/>
  <c r="G31" i="1" s="1"/>
  <c r="F157" i="1"/>
  <c r="G157" i="1" s="1"/>
  <c r="F11" i="1"/>
  <c r="G11" i="1" s="1"/>
  <c r="F7" i="1"/>
  <c r="G7" i="1" s="1"/>
  <c r="F38" i="1"/>
  <c r="F145" i="1"/>
  <c r="G145" i="1" s="1"/>
  <c r="F16" i="1"/>
  <c r="G16" i="1" s="1"/>
  <c r="F12" i="1"/>
  <c r="F58" i="1"/>
  <c r="G58" i="1" s="1"/>
  <c r="F137" i="1"/>
  <c r="F63" i="1"/>
  <c r="F5" i="1"/>
  <c r="G5" i="1" s="1"/>
  <c r="F15" i="1"/>
  <c r="G15" i="1" s="1"/>
  <c r="F96" i="1"/>
  <c r="G96" i="1" s="1"/>
  <c r="F175" i="1"/>
  <c r="G175" i="1" s="1"/>
  <c r="F206" i="1"/>
  <c r="G206" i="1" s="1"/>
  <c r="F126" i="1"/>
  <c r="G126" i="1" s="1"/>
  <c r="F14" i="1"/>
  <c r="G14" i="1" s="1"/>
  <c r="F173" i="1"/>
  <c r="G173" i="1" s="1"/>
  <c r="F109" i="1"/>
  <c r="G109" i="1" s="1"/>
  <c r="F45" i="1"/>
  <c r="G45" i="1" s="1"/>
  <c r="F156" i="1"/>
  <c r="F60" i="1"/>
  <c r="G60" i="1" s="1"/>
  <c r="F107" i="1"/>
  <c r="F202" i="1"/>
  <c r="G202" i="1" s="1"/>
  <c r="F74" i="1"/>
  <c r="G74" i="1" s="1"/>
  <c r="F105" i="1"/>
  <c r="F41" i="1"/>
  <c r="G41" i="1" s="1"/>
  <c r="F152" i="1"/>
  <c r="G152" i="1" s="1"/>
  <c r="F56" i="1"/>
  <c r="G56" i="1" s="1"/>
  <c r="F135" i="1"/>
  <c r="G135" i="1" s="1"/>
  <c r="F55" i="1"/>
  <c r="G55" i="1" s="1"/>
  <c r="F70" i="1"/>
  <c r="G70" i="1" s="1"/>
  <c r="F21" i="1"/>
  <c r="G21" i="1" s="1"/>
  <c r="F84" i="1"/>
  <c r="F158" i="1"/>
  <c r="G158" i="1" s="1"/>
  <c r="F62" i="1"/>
  <c r="F205" i="1"/>
  <c r="F141" i="1"/>
  <c r="G141" i="1" s="1"/>
  <c r="F93" i="1"/>
  <c r="G93" i="1" s="1"/>
  <c r="F29" i="1"/>
  <c r="G29" i="1" s="1"/>
  <c r="F188" i="1"/>
  <c r="F76" i="1"/>
  <c r="G76" i="1" s="1"/>
  <c r="F203" i="1"/>
  <c r="F91" i="1"/>
  <c r="G91" i="1" s="1"/>
  <c r="F170" i="1"/>
  <c r="G170" i="1" s="1"/>
  <c r="F90" i="1"/>
  <c r="G90" i="1" s="1"/>
  <c r="F10" i="1"/>
  <c r="G10" i="1" s="1"/>
  <c r="F185" i="1"/>
  <c r="G185" i="1" s="1"/>
  <c r="F121" i="1"/>
  <c r="F57" i="1"/>
  <c r="G57" i="1" s="1"/>
  <c r="F104" i="1"/>
  <c r="F103" i="1"/>
  <c r="G103" i="1" s="1"/>
  <c r="F182" i="1"/>
  <c r="F102" i="1"/>
  <c r="F6" i="1"/>
  <c r="G6" i="1" s="1"/>
  <c r="F181" i="1"/>
  <c r="G181" i="1" s="1"/>
  <c r="F85" i="1"/>
  <c r="G85" i="1" s="1"/>
  <c r="F148" i="1"/>
  <c r="G148" i="1" s="1"/>
  <c r="F116" i="1"/>
  <c r="F52" i="1"/>
  <c r="G52" i="1" s="1"/>
  <c r="F4" i="1"/>
  <c r="G4" i="1" s="1"/>
  <c r="F195" i="1"/>
  <c r="G195" i="1" s="1"/>
  <c r="F179" i="1"/>
  <c r="G179" i="1" s="1"/>
  <c r="F163" i="1"/>
  <c r="G163" i="1" s="1"/>
  <c r="F147" i="1"/>
  <c r="G147" i="1" s="1"/>
  <c r="F131" i="1"/>
  <c r="F115" i="1"/>
  <c r="G115" i="1" s="1"/>
  <c r="F99" i="1"/>
  <c r="G99" i="1" s="1"/>
  <c r="F83" i="1"/>
  <c r="G83" i="1" s="1"/>
  <c r="F67" i="1"/>
  <c r="G67" i="1" s="1"/>
  <c r="F51" i="1"/>
  <c r="G51" i="1" s="1"/>
  <c r="F35" i="1"/>
  <c r="F19" i="1"/>
  <c r="G19" i="1" s="1"/>
  <c r="F3" i="1"/>
  <c r="G3" i="1" s="1"/>
  <c r="F110" i="1"/>
  <c r="F46" i="1"/>
  <c r="F44" i="1"/>
  <c r="G44" i="1" s="1"/>
  <c r="F187" i="1"/>
  <c r="G187" i="1" s="1"/>
  <c r="F139" i="1"/>
  <c r="G139" i="1" s="1"/>
  <c r="F27" i="1"/>
  <c r="F138" i="1"/>
  <c r="G138" i="1" s="1"/>
  <c r="F26" i="1"/>
  <c r="F153" i="1"/>
  <c r="F73" i="1"/>
  <c r="G73" i="1" s="1"/>
  <c r="F9" i="1"/>
  <c r="F120" i="1"/>
  <c r="G120" i="1" s="1"/>
  <c r="F24" i="1"/>
  <c r="G24" i="1" s="1"/>
  <c r="F151" i="1"/>
  <c r="F23" i="1"/>
  <c r="F198" i="1"/>
  <c r="G198" i="1" s="1"/>
  <c r="F118" i="1"/>
  <c r="F22" i="1"/>
  <c r="G22" i="1" s="1"/>
  <c r="F117" i="1"/>
  <c r="F37" i="1"/>
  <c r="G37" i="1" s="1"/>
  <c r="F164" i="1"/>
  <c r="G164" i="1" s="1"/>
  <c r="F100" i="1"/>
  <c r="G100" i="1" s="1"/>
  <c r="F36" i="1"/>
  <c r="F20" i="1"/>
  <c r="F194" i="1"/>
  <c r="F178" i="1"/>
  <c r="F162" i="1"/>
  <c r="G162" i="1" s="1"/>
  <c r="F146" i="1"/>
  <c r="G146" i="1" s="1"/>
  <c r="F130" i="1"/>
  <c r="G130" i="1" s="1"/>
  <c r="F114" i="1"/>
  <c r="G114" i="1" s="1"/>
  <c r="F98" i="1"/>
  <c r="G98" i="1" s="1"/>
  <c r="F82" i="1"/>
  <c r="F66" i="1"/>
  <c r="G66" i="1" s="1"/>
  <c r="F50" i="1"/>
  <c r="G50" i="1" s="1"/>
  <c r="F34" i="1"/>
  <c r="F18" i="1"/>
  <c r="G18" i="1" s="1"/>
  <c r="F174" i="1"/>
  <c r="G174" i="1" s="1"/>
  <c r="F94" i="1"/>
  <c r="G94" i="1" s="1"/>
  <c r="F30" i="1"/>
  <c r="F189" i="1"/>
  <c r="G189" i="1" s="1"/>
  <c r="F125" i="1"/>
  <c r="G125" i="1" s="1"/>
  <c r="F61" i="1"/>
  <c r="F124" i="1"/>
  <c r="G124" i="1" s="1"/>
  <c r="F28" i="1"/>
  <c r="F155" i="1"/>
  <c r="G155" i="1" s="1"/>
  <c r="F59" i="1"/>
  <c r="G59" i="1" s="1"/>
  <c r="F186" i="1"/>
  <c r="G186" i="1" s="1"/>
  <c r="F122" i="1"/>
  <c r="G122" i="1" s="1"/>
  <c r="F42" i="1"/>
  <c r="G42" i="1" s="1"/>
  <c r="F169" i="1"/>
  <c r="G169" i="1" s="1"/>
  <c r="F89" i="1"/>
  <c r="G89" i="1" s="1"/>
  <c r="F25" i="1"/>
  <c r="G25" i="1" s="1"/>
  <c r="F168" i="1"/>
  <c r="G168" i="1" s="1"/>
  <c r="F88" i="1"/>
  <c r="G88" i="1" s="1"/>
  <c r="F8" i="1"/>
  <c r="F183" i="1"/>
  <c r="F71" i="1"/>
  <c r="G71" i="1" s="1"/>
  <c r="F150" i="1"/>
  <c r="G150" i="1" s="1"/>
  <c r="F165" i="1"/>
  <c r="F69" i="1"/>
  <c r="F180" i="1"/>
  <c r="G180" i="1" s="1"/>
  <c r="F161" i="1"/>
  <c r="G161" i="1" s="1"/>
  <c r="F129" i="1"/>
  <c r="G129" i="1" s="1"/>
  <c r="F97" i="1"/>
  <c r="G97" i="1" s="1"/>
  <c r="F65" i="1"/>
  <c r="F33" i="1"/>
  <c r="G33" i="1" s="1"/>
  <c r="F17" i="1"/>
  <c r="G17" i="1" s="1"/>
  <c r="F190" i="1"/>
  <c r="G190" i="1" s="1"/>
  <c r="F142" i="1"/>
  <c r="G142" i="1" s="1"/>
  <c r="F204" i="1"/>
  <c r="F140" i="1"/>
  <c r="G140" i="1" s="1"/>
  <c r="F108" i="1"/>
  <c r="G108" i="1" s="1"/>
  <c r="F92" i="1"/>
  <c r="G92" i="1" s="1"/>
  <c r="F171" i="1"/>
  <c r="G171" i="1" s="1"/>
  <c r="F123" i="1"/>
  <c r="G123" i="1" s="1"/>
  <c r="F75" i="1"/>
  <c r="G75" i="1" s="1"/>
  <c r="F43" i="1"/>
  <c r="G43" i="1" s="1"/>
  <c r="F154" i="1"/>
  <c r="G154" i="1" s="1"/>
  <c r="F106" i="1"/>
  <c r="G106" i="1" s="1"/>
  <c r="F200" i="1"/>
  <c r="F184" i="1"/>
  <c r="G184" i="1" s="1"/>
  <c r="F136" i="1"/>
  <c r="G136" i="1" s="1"/>
  <c r="F72" i="1"/>
  <c r="G72" i="1" s="1"/>
  <c r="F199" i="1"/>
  <c r="G199" i="1" s="1"/>
  <c r="F167" i="1"/>
  <c r="F119" i="1"/>
  <c r="F87" i="1"/>
  <c r="G87" i="1" s="1"/>
  <c r="F39" i="1"/>
  <c r="G39" i="1" s="1"/>
  <c r="F166" i="1"/>
  <c r="F134" i="1"/>
  <c r="G134" i="1" s="1"/>
  <c r="F86" i="1"/>
  <c r="G86" i="1" s="1"/>
  <c r="F197" i="1"/>
  <c r="F149" i="1"/>
  <c r="G149" i="1" s="1"/>
  <c r="F133" i="1"/>
  <c r="G133" i="1" s="1"/>
  <c r="F101" i="1"/>
  <c r="G101" i="1" s="1"/>
  <c r="F53" i="1"/>
  <c r="G53" i="1" s="1"/>
  <c r="F196" i="1"/>
  <c r="F132" i="1"/>
  <c r="G132" i="1" s="1"/>
  <c r="F68" i="1"/>
  <c r="F193" i="1"/>
  <c r="G193" i="1" s="1"/>
  <c r="F177" i="1"/>
  <c r="F113" i="1"/>
  <c r="G113" i="1" s="1"/>
  <c r="F81" i="1"/>
  <c r="F192" i="1"/>
  <c r="F176" i="1"/>
  <c r="F160" i="1"/>
  <c r="G160" i="1" s="1"/>
  <c r="F144" i="1"/>
  <c r="G144" i="1" s="1"/>
  <c r="F128" i="1"/>
  <c r="F112" i="1"/>
  <c r="G112" i="1" s="1"/>
  <c r="F80" i="1"/>
  <c r="F64" i="1"/>
  <c r="G64" i="1" s="1"/>
  <c r="F48" i="1"/>
  <c r="F32" i="1"/>
  <c r="G32" i="1" s="1"/>
  <c r="G119" i="1" l="1"/>
  <c r="G82" i="1"/>
  <c r="G177" i="1"/>
  <c r="G128" i="1"/>
  <c r="G68" i="1"/>
  <c r="G69" i="1"/>
  <c r="G165" i="1"/>
  <c r="G27" i="1"/>
  <c r="G167" i="1"/>
  <c r="G48" i="1"/>
  <c r="G200" i="1"/>
  <c r="G105" i="1"/>
  <c r="G2" i="1"/>
  <c r="G137" i="1"/>
  <c r="G80" i="1"/>
  <c r="G35" i="1"/>
  <c r="G79" i="1"/>
  <c r="G151" i="1"/>
  <c r="G102" i="1"/>
  <c r="G34" i="1"/>
  <c r="G197" i="1"/>
  <c r="G205" i="1"/>
  <c r="G61" i="1"/>
  <c r="G178" i="1"/>
  <c r="G62" i="1"/>
  <c r="G38" i="1"/>
  <c r="G156" i="1"/>
  <c r="G176" i="1"/>
  <c r="G166" i="1"/>
  <c r="G194" i="1"/>
  <c r="G153" i="1"/>
  <c r="G49" i="1"/>
  <c r="G9" i="1"/>
  <c r="G192" i="1"/>
  <c r="G26" i="1"/>
  <c r="G131" i="1"/>
  <c r="G84" i="1"/>
  <c r="G182" i="1"/>
  <c r="G30" i="1"/>
  <c r="G121" i="1"/>
  <c r="G54" i="1"/>
  <c r="G104" i="1"/>
  <c r="G107" i="1"/>
  <c r="G12" i="1"/>
  <c r="G28" i="1"/>
  <c r="G183" i="1"/>
  <c r="G20" i="1"/>
  <c r="G204" i="1"/>
  <c r="G81" i="1"/>
  <c r="G117" i="1"/>
  <c r="G201" i="1"/>
  <c r="G36" i="1"/>
  <c r="G46" i="1"/>
  <c r="G13" i="1"/>
  <c r="G196" i="1"/>
  <c r="G65" i="1"/>
  <c r="G118" i="1"/>
  <c r="G110" i="1"/>
  <c r="G116" i="1"/>
  <c r="G203" i="1"/>
  <c r="G8" i="1"/>
  <c r="G63" i="1"/>
  <c r="G23" i="1"/>
  <c r="G188" i="1"/>
  <c r="C4" i="3"/>
  <c r="D4" i="3" s="1"/>
  <c r="B5" i="3"/>
  <c r="BK36" i="6"/>
  <c r="BL36" i="6" s="1"/>
  <c r="BK40" i="6"/>
  <c r="BL40" i="6" s="1"/>
  <c r="BK191" i="6"/>
  <c r="BL191" i="6" s="1"/>
  <c r="BK117" i="6"/>
  <c r="BL117" i="6" s="1"/>
  <c r="BK168" i="6"/>
  <c r="BL168" i="6" s="1"/>
  <c r="BK90" i="6"/>
  <c r="BL90" i="6" s="1"/>
  <c r="BK202" i="6"/>
  <c r="BL202" i="6" s="1"/>
  <c r="BK38" i="6"/>
  <c r="BL38" i="6" s="1"/>
  <c r="BK133" i="6"/>
  <c r="BL133" i="6" s="1"/>
  <c r="BK57" i="6"/>
  <c r="BL57" i="6" s="1"/>
  <c r="BK148" i="6"/>
  <c r="BL148" i="6" s="1"/>
  <c r="BK75" i="6"/>
  <c r="BL75" i="6" s="1"/>
  <c r="BK48" i="6"/>
  <c r="BL48" i="6" s="1"/>
  <c r="BK20" i="6"/>
  <c r="BL20" i="6" s="1"/>
  <c r="BK176" i="6"/>
  <c r="BL176" i="6" s="1"/>
  <c r="BK173" i="6"/>
  <c r="BL173" i="6" s="1"/>
  <c r="BK42" i="6"/>
  <c r="BL42" i="6" s="1"/>
  <c r="BK22" i="6"/>
  <c r="BL22" i="6" s="1"/>
  <c r="BK122" i="6"/>
  <c r="BL122" i="6" s="1"/>
  <c r="BK158" i="6"/>
  <c r="BL158" i="6" s="1"/>
  <c r="BK177" i="6"/>
  <c r="BL177" i="6" s="1"/>
  <c r="BK101" i="6"/>
  <c r="BL101" i="6" s="1"/>
  <c r="BK80" i="6"/>
  <c r="BL80" i="6" s="1"/>
  <c r="BK110" i="6"/>
  <c r="BL110" i="6" s="1"/>
  <c r="BK10" i="6"/>
  <c r="BL10" i="6" s="1"/>
  <c r="BK69" i="6"/>
  <c r="BL69" i="6" s="1"/>
  <c r="BK160" i="6"/>
  <c r="BL160" i="6" s="1"/>
  <c r="BK43" i="6"/>
  <c r="BL43" i="6" s="1"/>
  <c r="BK89" i="6"/>
  <c r="BL89" i="6" s="1"/>
  <c r="BK102" i="6"/>
  <c r="BL102" i="6" s="1"/>
  <c r="BK92" i="6"/>
  <c r="BL92" i="6" s="1"/>
  <c r="BK183" i="6"/>
  <c r="BL183" i="6" s="1"/>
  <c r="BK155" i="6"/>
  <c r="BL155" i="6" s="1"/>
  <c r="BK198" i="6"/>
  <c r="BL198" i="6" s="1"/>
  <c r="BK98" i="6"/>
  <c r="BL98" i="6" s="1"/>
  <c r="BK120" i="6"/>
  <c r="BL120" i="6" s="1"/>
  <c r="BK184" i="6"/>
  <c r="BL184" i="6" s="1"/>
  <c r="BK34" i="6"/>
  <c r="BL34" i="6" s="1"/>
  <c r="BK9" i="6"/>
  <c r="BL9" i="6" s="1"/>
  <c r="BK116" i="6"/>
  <c r="BL116" i="6" s="1"/>
  <c r="BK165" i="6"/>
  <c r="BL165" i="6" s="1"/>
  <c r="BK24" i="6"/>
  <c r="BL24" i="6" s="1"/>
  <c r="BK97" i="6"/>
  <c r="BL97" i="6" s="1"/>
  <c r="BK180" i="6"/>
  <c r="BL180" i="6" s="1"/>
  <c r="BK145" i="6"/>
  <c r="BL145" i="6" s="1"/>
  <c r="BK67" i="6"/>
  <c r="BL67" i="6" s="1"/>
  <c r="BK11" i="6"/>
  <c r="BL11" i="6" s="1"/>
  <c r="BK140" i="6"/>
  <c r="BL140" i="6" s="1"/>
  <c r="BK29" i="6"/>
  <c r="BL29" i="6" s="1"/>
  <c r="BK115" i="6"/>
  <c r="BL115" i="6" s="1"/>
  <c r="BK21" i="6"/>
  <c r="BL21" i="6" s="1"/>
  <c r="BK54" i="6"/>
  <c r="BL54" i="6" s="1"/>
  <c r="BK170" i="6"/>
  <c r="BL170" i="6" s="1"/>
  <c r="BK74" i="6"/>
  <c r="BL74" i="6" s="1"/>
  <c r="BK164" i="6"/>
  <c r="BL164" i="6" s="1"/>
  <c r="BK41" i="6"/>
  <c r="BL41" i="6" s="1"/>
  <c r="BK189" i="6"/>
  <c r="BL189" i="6" s="1"/>
  <c r="BK174" i="6"/>
  <c r="BL174" i="6" s="1"/>
  <c r="BK105" i="6"/>
  <c r="BL105" i="6" s="1"/>
  <c r="BK82" i="6"/>
  <c r="BL82" i="6" s="1"/>
  <c r="BK119" i="6"/>
  <c r="BL119" i="6" s="1"/>
  <c r="BK25" i="6"/>
  <c r="BL25" i="6" s="1"/>
  <c r="BK47" i="6"/>
  <c r="BL47" i="6" s="1"/>
  <c r="BK65" i="6"/>
  <c r="BL65" i="6" s="1"/>
  <c r="BK64" i="6"/>
  <c r="BL64" i="6" s="1"/>
  <c r="BK151" i="6"/>
  <c r="BL151" i="6" s="1"/>
  <c r="BK71" i="6"/>
  <c r="BL71" i="6" s="1"/>
  <c r="BK159" i="6"/>
  <c r="BL159" i="6" s="1"/>
  <c r="BK4" i="6"/>
  <c r="BL4" i="6" s="1"/>
  <c r="BK131" i="6"/>
  <c r="BL131" i="6" s="1"/>
  <c r="BK154" i="6"/>
  <c r="BL154" i="6" s="1"/>
  <c r="BK55" i="6"/>
  <c r="BL55" i="6" s="1"/>
  <c r="BK125" i="6"/>
  <c r="BL125" i="6" s="1"/>
  <c r="BK63" i="6"/>
  <c r="BL63" i="6" s="1"/>
  <c r="BK169" i="6"/>
  <c r="BL169" i="6" s="1"/>
  <c r="BK162" i="6"/>
  <c r="BL162" i="6" s="1"/>
  <c r="BK19" i="6"/>
  <c r="BL19" i="6" s="1"/>
  <c r="BK23" i="6"/>
  <c r="BL23" i="6" s="1"/>
  <c r="BK103" i="6"/>
  <c r="BL103" i="6" s="1"/>
  <c r="BK114" i="6"/>
  <c r="BL114" i="6" s="1"/>
  <c r="BK56" i="6"/>
  <c r="BL56" i="6" s="1"/>
  <c r="BK76" i="6"/>
  <c r="BL76" i="6" s="1"/>
  <c r="BK187" i="6"/>
  <c r="BL187" i="6" s="1"/>
  <c r="BK161" i="6"/>
  <c r="BL161" i="6" s="1"/>
  <c r="BK152" i="6"/>
  <c r="BL152" i="6" s="1"/>
  <c r="BK124" i="6"/>
  <c r="BL124" i="6" s="1"/>
  <c r="BK149" i="6"/>
  <c r="BL149" i="6" s="1"/>
  <c r="BK192" i="6"/>
  <c r="BL192" i="6" s="1"/>
  <c r="BK204" i="6"/>
  <c r="BL204" i="6" s="1"/>
  <c r="BK50" i="6"/>
  <c r="BL50" i="6" s="1"/>
  <c r="BK70" i="6"/>
  <c r="BL70" i="6" s="1"/>
  <c r="BK147" i="6"/>
  <c r="BL147" i="6" s="1"/>
  <c r="BK12" i="6"/>
  <c r="BL12" i="6" s="1"/>
  <c r="BK94" i="6"/>
  <c r="BL94" i="6" s="1"/>
  <c r="BK139" i="6"/>
  <c r="BL139" i="6" s="1"/>
  <c r="BK85" i="6"/>
  <c r="BL85" i="6" s="1"/>
  <c r="BK66" i="6"/>
  <c r="BL66" i="6" s="1"/>
  <c r="BK136" i="6"/>
  <c r="BL136" i="6" s="1"/>
  <c r="BK141" i="6"/>
  <c r="BL141" i="6" s="1"/>
  <c r="BK185" i="6"/>
  <c r="BL185" i="6" s="1"/>
  <c r="BK45" i="6"/>
  <c r="BL45" i="6" s="1"/>
  <c r="BK61" i="6"/>
  <c r="BL61" i="6" s="1"/>
  <c r="BK126" i="6"/>
  <c r="BL126" i="6" s="1"/>
  <c r="BK175" i="6"/>
  <c r="BL175" i="6" s="1"/>
  <c r="BK15" i="6"/>
  <c r="BL15" i="6" s="1"/>
  <c r="BK35" i="6"/>
  <c r="BL35" i="6" s="1"/>
  <c r="BK134" i="6"/>
  <c r="BL134" i="6" s="1"/>
  <c r="BK181" i="6"/>
  <c r="BL181" i="6" s="1"/>
  <c r="BK201" i="6"/>
  <c r="BL201" i="6" s="1"/>
  <c r="BK78" i="6"/>
  <c r="BL78" i="6" s="1"/>
  <c r="BK197" i="6"/>
  <c r="BL197" i="6" s="1"/>
  <c r="BK111" i="6"/>
  <c r="BL111" i="6" s="1"/>
  <c r="BK49" i="6"/>
  <c r="BL49" i="6" s="1"/>
  <c r="BK167" i="6"/>
  <c r="BL167" i="6" s="1"/>
  <c r="BK153" i="6"/>
  <c r="BL153" i="6" s="1"/>
  <c r="BK5" i="6"/>
  <c r="BL5" i="6" s="1"/>
  <c r="BK7" i="6"/>
  <c r="BL7" i="6" s="1"/>
  <c r="BK72" i="6"/>
  <c r="BL72" i="6" s="1"/>
  <c r="BK172" i="6"/>
  <c r="BL172" i="6" s="1"/>
  <c r="BK163" i="6"/>
  <c r="BL163" i="6" s="1"/>
  <c r="BK188" i="6"/>
  <c r="BL188" i="6" s="1"/>
  <c r="BK123" i="6"/>
  <c r="BL123" i="6" s="1"/>
  <c r="BK171" i="6"/>
  <c r="BL171" i="6" s="1"/>
  <c r="BK84" i="6"/>
  <c r="BL84" i="6" s="1"/>
  <c r="BK31" i="6"/>
  <c r="BL31" i="6" s="1"/>
  <c r="BK14" i="6"/>
  <c r="BL14" i="6" s="1"/>
  <c r="BK142" i="6"/>
  <c r="BL142" i="6" s="1"/>
  <c r="BK52" i="6"/>
  <c r="BL52" i="6" s="1"/>
  <c r="BK51" i="6"/>
  <c r="BL51" i="6" s="1"/>
  <c r="BK59" i="6"/>
  <c r="BL59" i="6" s="1"/>
  <c r="BK108" i="6"/>
  <c r="BL108" i="6" s="1"/>
  <c r="BK127" i="6"/>
  <c r="BL127" i="6" s="1"/>
  <c r="BK18" i="6"/>
  <c r="BL18" i="6" s="1"/>
  <c r="BK112" i="6"/>
  <c r="BL112" i="6" s="1"/>
  <c r="BK194" i="6"/>
  <c r="BL194" i="6" s="1"/>
  <c r="BK96" i="6"/>
  <c r="BL96" i="6" s="1"/>
  <c r="BK100" i="6"/>
  <c r="BL100" i="6" s="1"/>
  <c r="BK3" i="6"/>
  <c r="BL3" i="6" s="1"/>
  <c r="BK99" i="6"/>
  <c r="BL99" i="6" s="1"/>
  <c r="BK196" i="6"/>
  <c r="BL196" i="6" s="1"/>
  <c r="BK6" i="6"/>
  <c r="BL6" i="6" s="1"/>
  <c r="BK93" i="6"/>
  <c r="BL93" i="6" s="1"/>
  <c r="BK62" i="6"/>
  <c r="BL62" i="6" s="1"/>
  <c r="BK95" i="6"/>
  <c r="BL95" i="6" s="1"/>
  <c r="BK16" i="6"/>
  <c r="BL16" i="6" s="1"/>
  <c r="BK107" i="6"/>
  <c r="BL107" i="6" s="1"/>
  <c r="BK58" i="6"/>
  <c r="BL58" i="6" s="1"/>
  <c r="BK137" i="6"/>
  <c r="BL137" i="6" s="1"/>
  <c r="BK205" i="6"/>
  <c r="BL205" i="6" s="1"/>
  <c r="BK8" i="6"/>
  <c r="BL8" i="6" s="1"/>
  <c r="BK27" i="6"/>
  <c r="BL27" i="6" s="1"/>
  <c r="BK178" i="6"/>
  <c r="BL178" i="6" s="1"/>
  <c r="BK129" i="6"/>
  <c r="BL129" i="6" s="1"/>
  <c r="BK206" i="6"/>
  <c r="BL206" i="6" s="1"/>
  <c r="BK144" i="6"/>
  <c r="BL144" i="6" s="1"/>
  <c r="BK190" i="6"/>
  <c r="BL190" i="6" s="1"/>
  <c r="BK32" i="6"/>
  <c r="BL32" i="6" s="1"/>
  <c r="BK81" i="6"/>
  <c r="BL81" i="6" s="1"/>
  <c r="BK104" i="6"/>
  <c r="BL104" i="6" s="1"/>
  <c r="BK33" i="6"/>
  <c r="BL33" i="6" s="1"/>
  <c r="BK83" i="6"/>
  <c r="BL83" i="6" s="1"/>
  <c r="BK26" i="6"/>
  <c r="BL26" i="6" s="1"/>
  <c r="BK146" i="6"/>
  <c r="BL146" i="6" s="1"/>
  <c r="BK91" i="6"/>
  <c r="BL91" i="6" s="1"/>
  <c r="BK186" i="6"/>
  <c r="BL186" i="6" s="1"/>
  <c r="BK182" i="6"/>
  <c r="BL182" i="6" s="1"/>
  <c r="BK132" i="6"/>
  <c r="BL132" i="6" s="1"/>
  <c r="BK37" i="6"/>
  <c r="BL37" i="6" s="1"/>
  <c r="BK68" i="6"/>
  <c r="BL68" i="6" s="1"/>
  <c r="BK39" i="6"/>
  <c r="BL39" i="6" s="1"/>
  <c r="BK128" i="6"/>
  <c r="BL128" i="6" s="1"/>
  <c r="BK30" i="6"/>
  <c r="BL30" i="6" s="1"/>
  <c r="BK73" i="6"/>
  <c r="BL73" i="6" s="1"/>
  <c r="BK13" i="6"/>
  <c r="BL13" i="6" s="1"/>
  <c r="BK17" i="6"/>
  <c r="BL17" i="6" s="1"/>
  <c r="BK106" i="6"/>
  <c r="BL106" i="6" s="1"/>
  <c r="BK88" i="6"/>
  <c r="BL88" i="6" s="1"/>
  <c r="BK130" i="6"/>
  <c r="BL130" i="6" s="1"/>
  <c r="BK87" i="6"/>
  <c r="BL87" i="6" s="1"/>
  <c r="BK199" i="6"/>
  <c r="BL199" i="6" s="1"/>
  <c r="BK86" i="6"/>
  <c r="BL86" i="6" s="1"/>
  <c r="BK28" i="6"/>
  <c r="BL28" i="6" s="1"/>
  <c r="BK156" i="6"/>
  <c r="BL156" i="6" s="1"/>
  <c r="BK143" i="6"/>
  <c r="BL143" i="6" s="1"/>
  <c r="BK118" i="6"/>
  <c r="BL118" i="6" s="1"/>
  <c r="BK53" i="6"/>
  <c r="BL53" i="6" s="1"/>
  <c r="BK193" i="6"/>
  <c r="BL193" i="6" s="1"/>
  <c r="BK121" i="6"/>
  <c r="BL121" i="6" s="1"/>
  <c r="BK113" i="6"/>
  <c r="BL113" i="6" s="1"/>
  <c r="BK44" i="6"/>
  <c r="BL44" i="6" s="1"/>
  <c r="BK166" i="6"/>
  <c r="BL166" i="6" s="1"/>
  <c r="BK203" i="6"/>
  <c r="BL203" i="6" s="1"/>
  <c r="BK79" i="6"/>
  <c r="BL79" i="6" s="1"/>
  <c r="BK157" i="6"/>
  <c r="BL157" i="6" s="1"/>
  <c r="BK46" i="6"/>
  <c r="BL46" i="6" s="1"/>
  <c r="BK138" i="6"/>
  <c r="BL138" i="6" s="1"/>
  <c r="BK200" i="6"/>
  <c r="BL200" i="6" s="1"/>
  <c r="BK179" i="6"/>
  <c r="BL179" i="6" s="1"/>
  <c r="BK77" i="6"/>
  <c r="BL77" i="6" s="1"/>
  <c r="BK135" i="6"/>
  <c r="BL135" i="6" s="1"/>
  <c r="BK2" i="6"/>
  <c r="BL2" i="6" s="1"/>
  <c r="BK195" i="6"/>
  <c r="BL195" i="6" s="1"/>
  <c r="BK60" i="6"/>
  <c r="BL60" i="6" s="1"/>
  <c r="BK109" i="6"/>
  <c r="BL109" i="6" s="1"/>
  <c r="BK150" i="6"/>
  <c r="BL150" i="6" s="1"/>
  <c r="B6" i="3" l="1"/>
  <c r="C5" i="3"/>
  <c r="D5" i="3" s="1"/>
  <c r="C6" i="3" l="1"/>
  <c r="D6" i="3" s="1"/>
  <c r="B7" i="3"/>
  <c r="C7" i="3" l="1"/>
  <c r="D7" i="3" s="1"/>
  <c r="B8" i="3"/>
  <c r="B9" i="3" l="1"/>
  <c r="C8" i="3"/>
  <c r="D8" i="3" s="1"/>
  <c r="C9" i="3" l="1"/>
  <c r="D9" i="3" s="1"/>
  <c r="B10" i="3"/>
  <c r="C10" i="3" l="1"/>
  <c r="D10" i="3" s="1"/>
  <c r="B11" i="3"/>
  <c r="B12" i="3" l="1"/>
  <c r="C11" i="3"/>
  <c r="D11" i="3" s="1"/>
  <c r="B13" i="3" l="1"/>
  <c r="C12" i="3"/>
  <c r="D12" i="3" s="1"/>
  <c r="C13" i="3" l="1"/>
  <c r="D13" i="3" s="1"/>
  <c r="B14" i="3"/>
  <c r="C14" i="3" l="1"/>
  <c r="D14" i="3" s="1"/>
  <c r="B15" i="3"/>
  <c r="C15" i="3" l="1"/>
  <c r="D15" i="3" s="1"/>
  <c r="B16" i="3"/>
  <c r="C16" i="3" l="1"/>
  <c r="D16" i="3" s="1"/>
  <c r="B17" i="3"/>
  <c r="C17" i="3" l="1"/>
  <c r="D17" i="3" s="1"/>
  <c r="B18" i="3"/>
  <c r="C18" i="3" l="1"/>
  <c r="D18" i="3" s="1"/>
  <c r="B19" i="3"/>
  <c r="B20" i="3" l="1"/>
  <c r="C19" i="3"/>
  <c r="D19" i="3" s="1"/>
  <c r="C20" i="3" l="1"/>
  <c r="D20" i="3" s="1"/>
  <c r="B21" i="3"/>
  <c r="C21" i="3" l="1"/>
  <c r="D21" i="3" s="1"/>
  <c r="B22" i="3"/>
  <c r="B23" i="3" l="1"/>
  <c r="C22" i="3"/>
  <c r="D22" i="3" s="1"/>
  <c r="C23" i="3" l="1"/>
  <c r="D23" i="3" s="1"/>
  <c r="B24" i="3"/>
  <c r="B25" i="3" l="1"/>
  <c r="C24" i="3"/>
  <c r="D24" i="3" s="1"/>
  <c r="C25" i="3" l="1"/>
  <c r="D25" i="3" s="1"/>
  <c r="B26" i="3"/>
  <c r="C26" i="3" l="1"/>
  <c r="D26" i="3" s="1"/>
  <c r="B27" i="3"/>
  <c r="C27" i="3" l="1"/>
  <c r="D27" i="3" s="1"/>
  <c r="B28" i="3"/>
  <c r="C28" i="3" l="1"/>
  <c r="D28" i="3" s="1"/>
  <c r="B29" i="3"/>
  <c r="C29" i="3" l="1"/>
  <c r="D29" i="3" s="1"/>
  <c r="B30" i="3"/>
  <c r="C30" i="3" l="1"/>
  <c r="D30" i="3" s="1"/>
  <c r="B31" i="3"/>
  <c r="C31" i="3" l="1"/>
  <c r="D31" i="3" s="1"/>
  <c r="B32" i="3"/>
  <c r="C32" i="3" l="1"/>
  <c r="D32" i="3" s="1"/>
  <c r="B33" i="3"/>
  <c r="B34" i="3" l="1"/>
  <c r="C33" i="3"/>
  <c r="D33" i="3" s="1"/>
  <c r="C34" i="3" l="1"/>
  <c r="D34" i="3" s="1"/>
  <c r="B35" i="3"/>
  <c r="B36" i="3" l="1"/>
  <c r="C35" i="3"/>
  <c r="D35" i="3" s="1"/>
  <c r="C36" i="3" l="1"/>
  <c r="D36" i="3" s="1"/>
  <c r="B37" i="3"/>
  <c r="B38" i="3" l="1"/>
  <c r="C37" i="3"/>
  <c r="D37" i="3" s="1"/>
  <c r="C38" i="3" l="1"/>
  <c r="D38" i="3" s="1"/>
  <c r="B39" i="3"/>
  <c r="B40" i="3" l="1"/>
  <c r="C39" i="3"/>
  <c r="D39" i="3" s="1"/>
  <c r="B41" i="3" l="1"/>
  <c r="C40" i="3"/>
  <c r="D40" i="3" s="1"/>
  <c r="C41" i="3" l="1"/>
  <c r="D41" i="3" s="1"/>
  <c r="B42" i="3"/>
  <c r="C42" i="3" l="1"/>
  <c r="D42" i="3" s="1"/>
  <c r="B43" i="3"/>
  <c r="C43" i="3" l="1"/>
  <c r="D43" i="3" s="1"/>
  <c r="B44" i="3"/>
  <c r="C44" i="3" l="1"/>
  <c r="D44" i="3" s="1"/>
  <c r="B45" i="3"/>
  <c r="B46" i="3" l="1"/>
  <c r="C45" i="3"/>
  <c r="D45" i="3" s="1"/>
  <c r="C46" i="3" l="1"/>
  <c r="D46" i="3" s="1"/>
  <c r="B47" i="3"/>
  <c r="C47" i="3" l="1"/>
  <c r="D47" i="3" s="1"/>
  <c r="B48" i="3"/>
  <c r="B49" i="3" l="1"/>
  <c r="C48" i="3"/>
  <c r="D48" i="3" s="1"/>
  <c r="C49" i="3" l="1"/>
  <c r="D49" i="3" s="1"/>
  <c r="B50" i="3"/>
  <c r="B51" i="3" l="1"/>
  <c r="C50" i="3"/>
  <c r="D50" i="3" s="1"/>
  <c r="B52" i="3" l="1"/>
  <c r="C51" i="3"/>
  <c r="D51" i="3" s="1"/>
  <c r="C52" i="3" l="1"/>
  <c r="D52" i="3" s="1"/>
  <c r="B53" i="3"/>
  <c r="C53" i="3" l="1"/>
  <c r="D53" i="3" s="1"/>
  <c r="B54" i="3"/>
  <c r="C54" i="3" l="1"/>
  <c r="D54" i="3" s="1"/>
  <c r="B55" i="3"/>
  <c r="C55" i="3" l="1"/>
  <c r="D55" i="3" s="1"/>
  <c r="B56" i="3"/>
  <c r="B57" i="3" l="1"/>
  <c r="C56" i="3"/>
  <c r="D56" i="3" s="1"/>
  <c r="C57" i="3" l="1"/>
  <c r="D57" i="3" s="1"/>
  <c r="B58" i="3"/>
  <c r="C58" i="3" l="1"/>
  <c r="D58" i="3" s="1"/>
  <c r="B59" i="3"/>
  <c r="B60" i="3" l="1"/>
  <c r="C59" i="3"/>
  <c r="D59" i="3" s="1"/>
  <c r="C60" i="3" l="1"/>
  <c r="D60" i="3" s="1"/>
  <c r="B61" i="3"/>
  <c r="B62" i="3" l="1"/>
  <c r="C61" i="3"/>
  <c r="D61" i="3" s="1"/>
  <c r="C62" i="3" l="1"/>
  <c r="D62" i="3" s="1"/>
  <c r="B63" i="3"/>
  <c r="C63" i="3" l="1"/>
  <c r="D63" i="3" s="1"/>
  <c r="B64" i="3"/>
  <c r="C64" i="3" l="1"/>
  <c r="D64" i="3" s="1"/>
  <c r="B65" i="3"/>
  <c r="C65" i="3" l="1"/>
  <c r="D65" i="3" s="1"/>
  <c r="B66" i="3"/>
  <c r="C66" i="3" l="1"/>
  <c r="D66" i="3" s="1"/>
  <c r="B67" i="3"/>
  <c r="B68" i="3" l="1"/>
  <c r="C67" i="3"/>
  <c r="D67" i="3" s="1"/>
  <c r="C68" i="3" l="1"/>
  <c r="D68" i="3" s="1"/>
  <c r="B69" i="3"/>
  <c r="B70" i="3" l="1"/>
  <c r="C69" i="3"/>
  <c r="D69" i="3" s="1"/>
  <c r="C70" i="3" l="1"/>
  <c r="D70" i="3" s="1"/>
  <c r="B71" i="3"/>
  <c r="C71" i="3" l="1"/>
  <c r="D71" i="3" s="1"/>
  <c r="B72" i="3"/>
  <c r="B73" i="3" l="1"/>
  <c r="C72" i="3"/>
  <c r="D72" i="3" s="1"/>
  <c r="C73" i="3" l="1"/>
  <c r="D73" i="3" s="1"/>
  <c r="B74" i="3"/>
  <c r="C74" i="3" l="1"/>
  <c r="D74" i="3" s="1"/>
  <c r="B75" i="3"/>
  <c r="C75" i="3" l="1"/>
  <c r="D75" i="3" s="1"/>
  <c r="B76" i="3"/>
  <c r="B77" i="3" l="1"/>
  <c r="C76" i="3"/>
  <c r="D76" i="3" s="1"/>
  <c r="C77" i="3" l="1"/>
  <c r="D77" i="3" s="1"/>
  <c r="B78" i="3"/>
  <c r="C78" i="3" l="1"/>
  <c r="D78" i="3" s="1"/>
  <c r="B79" i="3"/>
  <c r="C79" i="3" l="1"/>
  <c r="D79" i="3" s="1"/>
  <c r="B80" i="3"/>
  <c r="C80" i="3" l="1"/>
  <c r="D80" i="3" s="1"/>
  <c r="B81" i="3"/>
  <c r="C81" i="3" l="1"/>
  <c r="D81" i="3" s="1"/>
  <c r="B82" i="3"/>
  <c r="C82" i="3" l="1"/>
  <c r="D82" i="3" s="1"/>
  <c r="B83" i="3"/>
  <c r="B84" i="3" l="1"/>
  <c r="C83" i="3"/>
  <c r="D83" i="3" s="1"/>
  <c r="C84" i="3" l="1"/>
  <c r="D84" i="3" s="1"/>
  <c r="B85" i="3"/>
  <c r="C85" i="3" l="1"/>
  <c r="D85" i="3" s="1"/>
  <c r="B86" i="3"/>
  <c r="C86" i="3" l="1"/>
  <c r="D86" i="3" s="1"/>
  <c r="B87" i="3"/>
  <c r="B88" i="3" l="1"/>
  <c r="C87" i="3"/>
  <c r="D87" i="3" s="1"/>
  <c r="B89" i="3" l="1"/>
  <c r="C88" i="3"/>
  <c r="D88" i="3" s="1"/>
  <c r="C89" i="3" l="1"/>
  <c r="D89" i="3" s="1"/>
  <c r="B90" i="3"/>
  <c r="C90" i="3" l="1"/>
  <c r="D90" i="3" s="1"/>
  <c r="B91" i="3"/>
  <c r="C91" i="3" l="1"/>
  <c r="D91" i="3" s="1"/>
  <c r="B92" i="3"/>
  <c r="C92" i="3" l="1"/>
  <c r="D92" i="3" s="1"/>
  <c r="B93" i="3"/>
  <c r="C93" i="3" l="1"/>
  <c r="D93" i="3" s="1"/>
  <c r="B94" i="3"/>
  <c r="C94" i="3" l="1"/>
  <c r="D94" i="3" s="1"/>
  <c r="B95" i="3"/>
  <c r="C95" i="3" l="1"/>
  <c r="D95" i="3" s="1"/>
  <c r="B96" i="3"/>
  <c r="B97" i="3" l="1"/>
  <c r="C96" i="3"/>
  <c r="D96" i="3" s="1"/>
  <c r="B98" i="3" l="1"/>
  <c r="C97" i="3"/>
  <c r="D97" i="3" s="1"/>
  <c r="C98" i="3" l="1"/>
  <c r="D98" i="3" s="1"/>
  <c r="B99" i="3"/>
  <c r="B100" i="3" l="1"/>
  <c r="C99" i="3"/>
  <c r="D99" i="3" s="1"/>
  <c r="C100" i="3" l="1"/>
  <c r="D100" i="3" s="1"/>
  <c r="B101" i="3"/>
  <c r="C101" i="3" l="1"/>
  <c r="D101" i="3" s="1"/>
  <c r="B102" i="3"/>
  <c r="C102" i="3" l="1"/>
  <c r="D102" i="3" s="1"/>
  <c r="B103" i="3"/>
  <c r="C103" i="3" l="1"/>
  <c r="D103" i="3" s="1"/>
  <c r="B104" i="3"/>
  <c r="B105" i="3" l="1"/>
  <c r="C104" i="3"/>
  <c r="D104" i="3" s="1"/>
  <c r="C105" i="3" l="1"/>
  <c r="D105" i="3" s="1"/>
  <c r="B106" i="3"/>
  <c r="C106" i="3" l="1"/>
  <c r="D106" i="3" s="1"/>
  <c r="B107" i="3"/>
  <c r="C107" i="3" l="1"/>
  <c r="D107" i="3" s="1"/>
  <c r="B108" i="3"/>
  <c r="B109" i="3" l="1"/>
  <c r="C108" i="3"/>
  <c r="D108" i="3" s="1"/>
  <c r="B110" i="3" l="1"/>
  <c r="C109" i="3"/>
  <c r="D109" i="3" s="1"/>
  <c r="C110" i="3" l="1"/>
  <c r="D110" i="3" s="1"/>
  <c r="B111" i="3"/>
  <c r="C111" i="3" l="1"/>
  <c r="D111" i="3" s="1"/>
  <c r="B112" i="3"/>
  <c r="B113" i="3" l="1"/>
  <c r="C112" i="3"/>
  <c r="D112" i="3" s="1"/>
  <c r="C113" i="3" l="1"/>
  <c r="D113" i="3" s="1"/>
  <c r="B114" i="3"/>
  <c r="B115" i="3" l="1"/>
  <c r="C114" i="3"/>
  <c r="D114" i="3" s="1"/>
  <c r="B116" i="3" l="1"/>
  <c r="C115" i="3"/>
  <c r="D115" i="3" s="1"/>
  <c r="C116" i="3" l="1"/>
  <c r="D116" i="3" s="1"/>
  <c r="B117" i="3"/>
  <c r="B118" i="3" l="1"/>
  <c r="C117" i="3"/>
  <c r="D117" i="3" s="1"/>
  <c r="B119" i="3" l="1"/>
  <c r="C118" i="3"/>
  <c r="D118" i="3" s="1"/>
  <c r="C119" i="3" l="1"/>
  <c r="D119" i="3" s="1"/>
  <c r="B120" i="3"/>
  <c r="B121" i="3" l="1"/>
  <c r="C120" i="3"/>
  <c r="D120" i="3" s="1"/>
  <c r="C121" i="3" l="1"/>
  <c r="D121" i="3" s="1"/>
  <c r="B122" i="3"/>
  <c r="C122" i="3" l="1"/>
  <c r="D122" i="3" s="1"/>
  <c r="B123" i="3"/>
  <c r="C123" i="3" l="1"/>
  <c r="D123" i="3" s="1"/>
  <c r="B124" i="3"/>
  <c r="C124" i="3" l="1"/>
  <c r="D124" i="3" s="1"/>
  <c r="B125" i="3"/>
  <c r="B126" i="3" l="1"/>
  <c r="C125" i="3"/>
  <c r="D125" i="3" s="1"/>
  <c r="C126" i="3" l="1"/>
  <c r="D126" i="3" s="1"/>
  <c r="B127" i="3"/>
  <c r="C127" i="3" l="1"/>
  <c r="D127" i="3" s="1"/>
  <c r="B128" i="3"/>
  <c r="B129" i="3" l="1"/>
  <c r="C128" i="3"/>
  <c r="D128" i="3" s="1"/>
  <c r="B130" i="3" l="1"/>
  <c r="C129" i="3"/>
  <c r="D129" i="3" s="1"/>
  <c r="C130" i="3" l="1"/>
  <c r="D130" i="3" s="1"/>
  <c r="B131" i="3"/>
  <c r="B132" i="3" l="1"/>
  <c r="C131" i="3"/>
  <c r="D131" i="3" s="1"/>
  <c r="C132" i="3" l="1"/>
  <c r="D132" i="3" s="1"/>
  <c r="B133" i="3"/>
  <c r="B134" i="3" l="1"/>
  <c r="C133" i="3"/>
  <c r="D133" i="3" s="1"/>
  <c r="C134" i="3" l="1"/>
  <c r="D134" i="3" s="1"/>
  <c r="B135" i="3"/>
  <c r="B136" i="3" l="1"/>
  <c r="C135" i="3"/>
  <c r="D135" i="3" s="1"/>
  <c r="B137" i="3" l="1"/>
  <c r="C136" i="3"/>
  <c r="D136" i="3" s="1"/>
  <c r="C137" i="3" l="1"/>
  <c r="D137" i="3" s="1"/>
  <c r="B138" i="3"/>
  <c r="C138" i="3" l="1"/>
  <c r="D138" i="3" s="1"/>
  <c r="B139" i="3"/>
  <c r="B140" i="3" l="1"/>
  <c r="C139" i="3"/>
  <c r="D139" i="3" s="1"/>
  <c r="B141" i="3" l="1"/>
  <c r="C140" i="3"/>
  <c r="D140" i="3" s="1"/>
  <c r="C141" i="3" l="1"/>
  <c r="D141" i="3" s="1"/>
  <c r="B142" i="3"/>
  <c r="C142" i="3" l="1"/>
  <c r="D142" i="3" s="1"/>
  <c r="B143" i="3"/>
  <c r="C143" i="3" l="1"/>
  <c r="D143" i="3" s="1"/>
  <c r="B144" i="3"/>
  <c r="C144" i="3" l="1"/>
  <c r="D144" i="3" s="1"/>
  <c r="B145" i="3"/>
  <c r="C145" i="3" l="1"/>
  <c r="D145" i="3" s="1"/>
  <c r="B146" i="3"/>
  <c r="C146" i="3" l="1"/>
  <c r="D146" i="3" s="1"/>
  <c r="B147" i="3"/>
  <c r="B148" i="3" l="1"/>
  <c r="C147" i="3"/>
  <c r="D147" i="3" s="1"/>
  <c r="C148" i="3" l="1"/>
  <c r="D148" i="3" s="1"/>
  <c r="B149" i="3"/>
  <c r="C149" i="3" l="1"/>
  <c r="D149" i="3" s="1"/>
  <c r="B150" i="3"/>
  <c r="C150" i="3" l="1"/>
  <c r="D150" i="3" s="1"/>
  <c r="B151" i="3"/>
  <c r="C151" i="3" l="1"/>
  <c r="D151" i="3" s="1"/>
  <c r="B152" i="3"/>
  <c r="B153" i="3" l="1"/>
  <c r="C152" i="3"/>
  <c r="D152" i="3" s="1"/>
  <c r="C153" i="3" l="1"/>
  <c r="D153" i="3" s="1"/>
  <c r="B154" i="3"/>
  <c r="C154" i="3" l="1"/>
  <c r="D154" i="3" s="1"/>
  <c r="B155" i="3"/>
  <c r="C155" i="3" l="1"/>
  <c r="D155" i="3" s="1"/>
  <c r="B156" i="3"/>
  <c r="B157" i="3" l="1"/>
  <c r="C156" i="3"/>
  <c r="D156" i="3" s="1"/>
  <c r="C157" i="3" l="1"/>
  <c r="D157" i="3" s="1"/>
  <c r="B158" i="3"/>
  <c r="C158" i="3" l="1"/>
  <c r="D158" i="3" s="1"/>
  <c r="B159" i="3"/>
  <c r="B160" i="3" l="1"/>
  <c r="C159" i="3"/>
  <c r="D159" i="3" s="1"/>
  <c r="C160" i="3" l="1"/>
  <c r="D160" i="3" s="1"/>
  <c r="B161" i="3"/>
  <c r="B162" i="3" l="1"/>
  <c r="C161" i="3"/>
  <c r="D161" i="3" s="1"/>
  <c r="C162" i="3" l="1"/>
  <c r="D162" i="3" s="1"/>
  <c r="B163" i="3"/>
  <c r="B164" i="3" l="1"/>
  <c r="C163" i="3"/>
  <c r="D163" i="3" s="1"/>
  <c r="C164" i="3" l="1"/>
  <c r="D164" i="3" s="1"/>
  <c r="B165" i="3"/>
  <c r="C165" i="3" l="1"/>
  <c r="D165" i="3" s="1"/>
  <c r="B166" i="3"/>
  <c r="B167" i="3" l="1"/>
  <c r="C166" i="3"/>
  <c r="D166" i="3" s="1"/>
  <c r="C167" i="3" l="1"/>
  <c r="D167" i="3" s="1"/>
  <c r="B168" i="3"/>
  <c r="B169" i="3" l="1"/>
  <c r="C168" i="3"/>
  <c r="D168" i="3" s="1"/>
  <c r="C169" i="3" l="1"/>
  <c r="D169" i="3" s="1"/>
  <c r="B170" i="3"/>
  <c r="C170" i="3" l="1"/>
  <c r="D170" i="3" s="1"/>
  <c r="B171" i="3"/>
  <c r="C171" i="3" l="1"/>
  <c r="D171" i="3" s="1"/>
  <c r="B172" i="3"/>
  <c r="C172" i="3" l="1"/>
  <c r="D172" i="3" s="1"/>
  <c r="B173" i="3"/>
  <c r="C173" i="3" l="1"/>
  <c r="D173" i="3" s="1"/>
  <c r="B174" i="3"/>
  <c r="C174" i="3" l="1"/>
  <c r="D174" i="3" s="1"/>
  <c r="B175" i="3"/>
  <c r="C175" i="3" l="1"/>
  <c r="D175" i="3" s="1"/>
  <c r="B176" i="3"/>
  <c r="B177" i="3" l="1"/>
  <c r="C176" i="3"/>
  <c r="D176" i="3" s="1"/>
  <c r="C177" i="3" l="1"/>
  <c r="D177" i="3" s="1"/>
  <c r="B178" i="3"/>
  <c r="B179" i="3" l="1"/>
  <c r="C178" i="3"/>
  <c r="D178" i="3" s="1"/>
  <c r="B180" i="3" l="1"/>
  <c r="C179" i="3"/>
  <c r="D179" i="3" s="1"/>
  <c r="C180" i="3" l="1"/>
  <c r="D180" i="3" s="1"/>
  <c r="B181" i="3"/>
  <c r="C181" i="3" l="1"/>
  <c r="D181" i="3" s="1"/>
  <c r="B182" i="3"/>
  <c r="C182" i="3" l="1"/>
  <c r="D182" i="3" s="1"/>
  <c r="B183" i="3"/>
  <c r="C183" i="3" l="1"/>
  <c r="D183" i="3" s="1"/>
  <c r="B184" i="3"/>
  <c r="B185" i="3" l="1"/>
  <c r="C184" i="3"/>
  <c r="D184" i="3" s="1"/>
  <c r="C185" i="3" l="1"/>
  <c r="D185" i="3" s="1"/>
  <c r="B186" i="3"/>
  <c r="C186" i="3" l="1"/>
  <c r="D186" i="3" s="1"/>
  <c r="B187" i="3"/>
  <c r="C187" i="3" l="1"/>
  <c r="D187" i="3" s="1"/>
  <c r="B188" i="3"/>
  <c r="C188" i="3" l="1"/>
  <c r="D188" i="3" s="1"/>
  <c r="B189" i="3"/>
  <c r="B190" i="3" l="1"/>
  <c r="C189" i="3"/>
  <c r="D189" i="3" s="1"/>
  <c r="B191" i="3" l="1"/>
  <c r="C190" i="3"/>
  <c r="D190" i="3" s="1"/>
  <c r="C191" i="3" l="1"/>
  <c r="D191" i="3" s="1"/>
  <c r="B192" i="3"/>
  <c r="C192" i="3" l="1"/>
  <c r="D192" i="3" s="1"/>
  <c r="B193" i="3"/>
  <c r="C193" i="3" l="1"/>
  <c r="D193" i="3" s="1"/>
  <c r="B194" i="3"/>
  <c r="C194" i="3" l="1"/>
  <c r="D194" i="3" s="1"/>
  <c r="B195" i="3"/>
  <c r="B196" i="3" l="1"/>
  <c r="C195" i="3"/>
  <c r="D195" i="3" s="1"/>
  <c r="C196" i="3" l="1"/>
  <c r="D196" i="3" s="1"/>
  <c r="B197" i="3"/>
  <c r="C197" i="3" l="1"/>
  <c r="D197" i="3" s="1"/>
  <c r="B198" i="3"/>
  <c r="C198" i="3" l="1"/>
  <c r="D198" i="3" s="1"/>
  <c r="B199" i="3"/>
  <c r="C199" i="3" l="1"/>
  <c r="D199" i="3" s="1"/>
  <c r="B200" i="3"/>
  <c r="C200" i="3" l="1"/>
  <c r="D200" i="3" s="1"/>
  <c r="B201" i="3"/>
  <c r="C201" i="3" l="1"/>
  <c r="D201" i="3" s="1"/>
  <c r="B202" i="3"/>
  <c r="C202" i="3" l="1"/>
  <c r="D202" i="3" s="1"/>
  <c r="B203" i="3"/>
  <c r="C203" i="3" l="1"/>
  <c r="D203" i="3" s="1"/>
  <c r="B204" i="3"/>
  <c r="B205" i="3" l="1"/>
  <c r="C204" i="3"/>
  <c r="D204" i="3" s="1"/>
  <c r="C205" i="3" l="1"/>
  <c r="D205" i="3" s="1"/>
  <c r="B206" i="3"/>
  <c r="B207" i="3" l="1"/>
  <c r="C206" i="3"/>
  <c r="D206" i="3" s="1"/>
  <c r="C207" i="3" l="1"/>
  <c r="D207" i="3" s="1"/>
  <c r="B208" i="3"/>
  <c r="B209" i="3" l="1"/>
  <c r="C208" i="3"/>
  <c r="D208" i="3" s="1"/>
  <c r="C209" i="3" l="1"/>
  <c r="D209" i="3" s="1"/>
  <c r="B210" i="3"/>
  <c r="C210" i="3" l="1"/>
  <c r="D210" i="3" s="1"/>
  <c r="B211" i="3"/>
  <c r="C211" i="3" l="1"/>
  <c r="D211" i="3" s="1"/>
  <c r="B212" i="3"/>
  <c r="C212" i="3" l="1"/>
  <c r="D212" i="3" s="1"/>
  <c r="B213" i="3"/>
  <c r="C213" i="3" l="1"/>
  <c r="D213" i="3" s="1"/>
  <c r="B214" i="3"/>
  <c r="B215" i="3" l="1"/>
  <c r="C214" i="3"/>
  <c r="D214" i="3" s="1"/>
  <c r="C215" i="3" l="1"/>
  <c r="D215" i="3" s="1"/>
  <c r="B216" i="3"/>
  <c r="C216" i="3" l="1"/>
  <c r="D216" i="3" s="1"/>
  <c r="B217" i="3"/>
  <c r="C217" i="3" l="1"/>
  <c r="D217" i="3" s="1"/>
  <c r="B218" i="3"/>
  <c r="C218" i="3" l="1"/>
  <c r="D218" i="3" s="1"/>
  <c r="B219" i="3"/>
  <c r="C219" i="3" l="1"/>
  <c r="D219" i="3" s="1"/>
  <c r="B220" i="3"/>
  <c r="B221" i="3" l="1"/>
  <c r="C220" i="3"/>
  <c r="D220" i="3" s="1"/>
  <c r="C221" i="3" l="1"/>
  <c r="D221" i="3" s="1"/>
  <c r="B222" i="3"/>
  <c r="B223" i="3" l="1"/>
  <c r="C222" i="3"/>
  <c r="D222" i="3" s="1"/>
  <c r="C223" i="3" l="1"/>
  <c r="D223" i="3" s="1"/>
  <c r="B224" i="3"/>
  <c r="C224" i="3" l="1"/>
  <c r="D224" i="3" s="1"/>
  <c r="B225" i="3"/>
  <c r="B226" i="3" l="1"/>
  <c r="C225" i="3"/>
  <c r="D225" i="3" s="1"/>
  <c r="B227" i="3" l="1"/>
  <c r="C226" i="3"/>
  <c r="D226" i="3" s="1"/>
  <c r="C227" i="3" l="1"/>
  <c r="D227" i="3" s="1"/>
  <c r="B228" i="3"/>
  <c r="C228" i="3" l="1"/>
  <c r="D228" i="3" s="1"/>
  <c r="B229" i="3"/>
  <c r="C229" i="3" l="1"/>
  <c r="D229" i="3" s="1"/>
  <c r="B230" i="3"/>
  <c r="B231" i="3" l="1"/>
  <c r="C230" i="3"/>
  <c r="D230" i="3" s="1"/>
  <c r="C231" i="3" l="1"/>
  <c r="D231" i="3" s="1"/>
  <c r="B232" i="3"/>
  <c r="B233" i="3" l="1"/>
  <c r="C232" i="3"/>
  <c r="D232" i="3" s="1"/>
  <c r="C233" i="3" l="1"/>
  <c r="D233" i="3" s="1"/>
  <c r="B234" i="3"/>
  <c r="C234" i="3" l="1"/>
  <c r="D234" i="3" s="1"/>
  <c r="B235" i="3"/>
  <c r="C235" i="3" l="1"/>
  <c r="D235" i="3" s="1"/>
  <c r="B236" i="3"/>
  <c r="B237" i="3" l="1"/>
  <c r="C236" i="3"/>
  <c r="D236" i="3" s="1"/>
  <c r="C237" i="3" l="1"/>
  <c r="D237" i="3" s="1"/>
  <c r="B238" i="3"/>
  <c r="B239" i="3" l="1"/>
  <c r="C238" i="3"/>
  <c r="D238" i="3" s="1"/>
  <c r="C239" i="3" l="1"/>
  <c r="D239" i="3" s="1"/>
  <c r="B240" i="3"/>
  <c r="C240" i="3" l="1"/>
  <c r="D240" i="3" s="1"/>
  <c r="B241" i="3"/>
  <c r="C241" i="3" l="1"/>
  <c r="D241" i="3" s="1"/>
  <c r="B242" i="3"/>
  <c r="C242" i="3" l="1"/>
  <c r="D242" i="3" s="1"/>
  <c r="B243" i="3"/>
  <c r="B244" i="3" l="1"/>
  <c r="C243" i="3"/>
  <c r="D243" i="3" s="1"/>
  <c r="C244" i="3" l="1"/>
  <c r="D244" i="3" s="1"/>
  <c r="B245" i="3"/>
  <c r="C245" i="3" l="1"/>
  <c r="D245" i="3" s="1"/>
  <c r="B246" i="3"/>
  <c r="B247" i="3" l="1"/>
  <c r="C246" i="3"/>
  <c r="D246" i="3" s="1"/>
  <c r="C247" i="3" l="1"/>
  <c r="D247" i="3" s="1"/>
  <c r="B248" i="3"/>
  <c r="C248" i="3" l="1"/>
  <c r="D248" i="3" s="1"/>
  <c r="B249" i="3"/>
  <c r="C249" i="3" l="1"/>
  <c r="D249" i="3" s="1"/>
  <c r="B250" i="3"/>
  <c r="C250" i="3" l="1"/>
  <c r="D250" i="3" s="1"/>
  <c r="B251" i="3"/>
  <c r="C251" i="3" l="1"/>
  <c r="D251" i="3" s="1"/>
  <c r="B252" i="3"/>
  <c r="C252" i="3" l="1"/>
  <c r="D252" i="3" s="1"/>
  <c r="B253" i="3"/>
  <c r="B254" i="3" l="1"/>
  <c r="C253" i="3"/>
  <c r="D253" i="3" s="1"/>
  <c r="B255" i="3" l="1"/>
  <c r="C254" i="3"/>
  <c r="D254" i="3" s="1"/>
  <c r="C255" i="3" l="1"/>
  <c r="D255" i="3" s="1"/>
  <c r="B256" i="3"/>
  <c r="C256" i="3" l="1"/>
  <c r="D256" i="3" s="1"/>
  <c r="B257" i="3"/>
  <c r="C257" i="3" l="1"/>
  <c r="D257" i="3" s="1"/>
  <c r="B258" i="3"/>
  <c r="C258" i="3" l="1"/>
  <c r="D258" i="3" s="1"/>
  <c r="B259" i="3"/>
  <c r="C259" i="3" l="1"/>
  <c r="D259" i="3" s="1"/>
  <c r="B260" i="3"/>
  <c r="C260" i="3" l="1"/>
  <c r="D260" i="3" s="1"/>
  <c r="B261" i="3"/>
  <c r="C261" i="3" l="1"/>
  <c r="D261" i="3" s="1"/>
  <c r="B262" i="3"/>
  <c r="C262" i="3" l="1"/>
  <c r="D262" i="3" s="1"/>
  <c r="B263" i="3"/>
  <c r="C263" i="3" l="1"/>
  <c r="D263" i="3" s="1"/>
  <c r="B264" i="3"/>
  <c r="C264" i="3" l="1"/>
  <c r="D264" i="3" s="1"/>
  <c r="B265" i="3"/>
  <c r="C265" i="3" l="1"/>
  <c r="D265" i="3" s="1"/>
  <c r="B266" i="3"/>
  <c r="C266" i="3" l="1"/>
  <c r="D266" i="3" s="1"/>
  <c r="B267" i="3"/>
  <c r="B268" i="3" l="1"/>
  <c r="C267" i="3"/>
  <c r="D267" i="3" s="1"/>
  <c r="B269" i="3" l="1"/>
  <c r="C268" i="3"/>
  <c r="D268" i="3" s="1"/>
  <c r="C269" i="3" l="1"/>
  <c r="D269" i="3" s="1"/>
  <c r="B270" i="3"/>
  <c r="B271" i="3" l="1"/>
  <c r="C270" i="3"/>
  <c r="D270" i="3" s="1"/>
  <c r="C271" i="3" l="1"/>
  <c r="D271" i="3" s="1"/>
  <c r="B272" i="3"/>
  <c r="C272" i="3" l="1"/>
  <c r="D272" i="3" s="1"/>
  <c r="B273" i="3"/>
  <c r="C273" i="3" l="1"/>
  <c r="D273" i="3" s="1"/>
  <c r="B274" i="3"/>
  <c r="C274" i="3" l="1"/>
  <c r="D274" i="3" s="1"/>
  <c r="B275" i="3"/>
  <c r="C275" i="3" l="1"/>
  <c r="D275" i="3" s="1"/>
  <c r="B276" i="3"/>
  <c r="C276" i="3" l="1"/>
  <c r="D276" i="3" s="1"/>
  <c r="B277" i="3"/>
  <c r="C277" i="3" l="1"/>
  <c r="D277" i="3" s="1"/>
  <c r="B278" i="3"/>
  <c r="B279" i="3" l="1"/>
  <c r="C278" i="3"/>
  <c r="D278" i="3" s="1"/>
  <c r="C279" i="3" l="1"/>
  <c r="D279" i="3" s="1"/>
  <c r="B280" i="3"/>
  <c r="C280" i="3" l="1"/>
  <c r="D280" i="3" s="1"/>
  <c r="B281" i="3"/>
  <c r="C281" i="3" l="1"/>
  <c r="D281" i="3" s="1"/>
  <c r="B282" i="3"/>
  <c r="C282" i="3" l="1"/>
  <c r="D282" i="3" s="1"/>
  <c r="B283" i="3"/>
  <c r="C283" i="3" l="1"/>
  <c r="D283" i="3" s="1"/>
  <c r="B284" i="3"/>
  <c r="B285" i="3" l="1"/>
  <c r="C284" i="3"/>
  <c r="D284" i="3" s="1"/>
  <c r="C285" i="3" l="1"/>
  <c r="D285" i="3" s="1"/>
  <c r="B286" i="3"/>
  <c r="B287" i="3" l="1"/>
  <c r="C286" i="3"/>
  <c r="D286" i="3" s="1"/>
  <c r="B288" i="3" l="1"/>
  <c r="C287" i="3"/>
  <c r="D287" i="3" s="1"/>
  <c r="C288" i="3" l="1"/>
  <c r="D288" i="3" s="1"/>
  <c r="B289" i="3"/>
  <c r="C289" i="3" l="1"/>
  <c r="D289" i="3" s="1"/>
  <c r="B290" i="3"/>
  <c r="C290" i="3" l="1"/>
  <c r="D290" i="3" s="1"/>
  <c r="B291" i="3"/>
  <c r="C291" i="3" l="1"/>
  <c r="D291" i="3" s="1"/>
  <c r="B292" i="3"/>
  <c r="C292" i="3" l="1"/>
  <c r="D292" i="3" s="1"/>
  <c r="B293" i="3"/>
  <c r="B294" i="3" l="1"/>
  <c r="C293" i="3"/>
  <c r="D293" i="3" s="1"/>
  <c r="C294" i="3" l="1"/>
  <c r="D294" i="3" s="1"/>
  <c r="B295" i="3"/>
  <c r="B296" i="3" l="1"/>
  <c r="C295" i="3"/>
  <c r="D295" i="3" s="1"/>
  <c r="B297" i="3" l="1"/>
  <c r="C296" i="3"/>
  <c r="D296" i="3" s="1"/>
  <c r="C297" i="3" l="1"/>
  <c r="D297" i="3" s="1"/>
  <c r="B298" i="3"/>
  <c r="C298" i="3" l="1"/>
  <c r="D298" i="3" s="1"/>
  <c r="B299" i="3"/>
  <c r="B300" i="3" l="1"/>
  <c r="C299" i="3"/>
  <c r="D299" i="3" s="1"/>
  <c r="C300" i="3" l="1"/>
  <c r="D300" i="3" s="1"/>
  <c r="B301" i="3"/>
  <c r="C301" i="3" l="1"/>
  <c r="D301" i="3" s="1"/>
  <c r="B302" i="3"/>
  <c r="B303" i="3" l="1"/>
  <c r="C302" i="3"/>
  <c r="D302" i="3" s="1"/>
  <c r="C303" i="3" l="1"/>
  <c r="D303" i="3" s="1"/>
  <c r="B304" i="3"/>
  <c r="C304" i="3" l="1"/>
  <c r="D304" i="3" s="1"/>
  <c r="B305" i="3"/>
  <c r="B306" i="3" l="1"/>
  <c r="C305" i="3"/>
  <c r="D305" i="3" s="1"/>
  <c r="C306" i="3" l="1"/>
  <c r="D306" i="3" s="1"/>
  <c r="B307" i="3"/>
  <c r="B308" i="3" l="1"/>
  <c r="C307" i="3"/>
  <c r="D307" i="3" s="1"/>
  <c r="C308" i="3" l="1"/>
  <c r="D308" i="3" s="1"/>
  <c r="B309" i="3"/>
  <c r="B310" i="3" l="1"/>
  <c r="C309" i="3"/>
  <c r="D309" i="3" s="1"/>
  <c r="B311" i="3" l="1"/>
  <c r="C310" i="3"/>
  <c r="D310" i="3" s="1"/>
  <c r="B312" i="3" l="1"/>
  <c r="C311" i="3"/>
  <c r="D311" i="3" s="1"/>
  <c r="C312" i="3" l="1"/>
  <c r="D312" i="3" s="1"/>
  <c r="B313" i="3"/>
  <c r="C313" i="3" l="1"/>
  <c r="D313" i="3" s="1"/>
  <c r="B314" i="3"/>
  <c r="C314" i="3" l="1"/>
  <c r="D314" i="3" s="1"/>
  <c r="B315" i="3"/>
  <c r="C315" i="3" l="1"/>
  <c r="D315" i="3" s="1"/>
  <c r="B316" i="3"/>
  <c r="B317" i="3" l="1"/>
  <c r="C316" i="3"/>
  <c r="D316" i="3" s="1"/>
  <c r="B318" i="3" l="1"/>
  <c r="C317" i="3"/>
  <c r="D317" i="3" s="1"/>
  <c r="B319" i="3" l="1"/>
  <c r="C318" i="3"/>
  <c r="D318" i="3" s="1"/>
  <c r="C319" i="3" l="1"/>
  <c r="D319" i="3" s="1"/>
  <c r="B320" i="3"/>
  <c r="C320" i="3" l="1"/>
  <c r="D320" i="3" s="1"/>
  <c r="B321" i="3"/>
  <c r="C321" i="3" l="1"/>
  <c r="D321" i="3" s="1"/>
  <c r="B322" i="3"/>
  <c r="B323" i="3" l="1"/>
  <c r="C322" i="3"/>
  <c r="D322" i="3" s="1"/>
  <c r="B324" i="3" l="1"/>
  <c r="C323" i="3"/>
  <c r="D323" i="3" s="1"/>
  <c r="C324" i="3" l="1"/>
  <c r="D324" i="3" s="1"/>
  <c r="B325" i="3"/>
  <c r="C325" i="3" l="1"/>
  <c r="D325" i="3" s="1"/>
  <c r="B326" i="3"/>
  <c r="B327" i="3" l="1"/>
  <c r="C326" i="3"/>
  <c r="D326" i="3" s="1"/>
  <c r="C327" i="3" l="1"/>
  <c r="D327" i="3" s="1"/>
  <c r="B328" i="3"/>
  <c r="C328" i="3" l="1"/>
  <c r="D328" i="3" s="1"/>
  <c r="B329" i="3"/>
  <c r="C329" i="3" l="1"/>
  <c r="D329" i="3" s="1"/>
  <c r="B330" i="3"/>
  <c r="C330" i="3" l="1"/>
  <c r="D330" i="3" s="1"/>
  <c r="B331" i="3"/>
  <c r="C331" i="3" l="1"/>
  <c r="D331" i="3" s="1"/>
  <c r="B332" i="3"/>
  <c r="C332" i="3" l="1"/>
  <c r="D332" i="3" s="1"/>
  <c r="B333" i="3"/>
  <c r="B334" i="3" l="1"/>
  <c r="C333" i="3"/>
  <c r="D333" i="3" s="1"/>
  <c r="B335" i="3" l="1"/>
  <c r="C334" i="3"/>
  <c r="D334" i="3" s="1"/>
  <c r="C335" i="3" l="1"/>
  <c r="D335" i="3" s="1"/>
  <c r="B336" i="3"/>
  <c r="B337" i="3" l="1"/>
  <c r="C336" i="3"/>
  <c r="D336" i="3" s="1"/>
  <c r="B338" i="3" l="1"/>
  <c r="C337" i="3"/>
  <c r="D337" i="3" s="1"/>
  <c r="B339" i="3" l="1"/>
  <c r="C338" i="3"/>
  <c r="D338" i="3" s="1"/>
  <c r="B340" i="3" l="1"/>
  <c r="C339" i="3"/>
  <c r="D339" i="3" s="1"/>
  <c r="C340" i="3" l="1"/>
  <c r="D340" i="3" s="1"/>
  <c r="B341" i="3"/>
  <c r="C341" i="3" l="1"/>
  <c r="D341" i="3" s="1"/>
  <c r="B342" i="3"/>
  <c r="B343" i="3" l="1"/>
  <c r="C342" i="3"/>
  <c r="D342" i="3" s="1"/>
  <c r="C343" i="3" l="1"/>
  <c r="D343" i="3" s="1"/>
  <c r="B344" i="3"/>
  <c r="C344" i="3" l="1"/>
  <c r="D344" i="3" s="1"/>
  <c r="B345" i="3"/>
  <c r="B346" i="3" l="1"/>
  <c r="C345" i="3"/>
  <c r="D345" i="3" s="1"/>
  <c r="C346" i="3" l="1"/>
  <c r="D346" i="3" s="1"/>
  <c r="B347" i="3"/>
  <c r="C347" i="3" l="1"/>
  <c r="D347" i="3" s="1"/>
  <c r="B348" i="3"/>
  <c r="B349" i="3" l="1"/>
  <c r="C348" i="3"/>
  <c r="D348" i="3" s="1"/>
  <c r="B350" i="3" l="1"/>
  <c r="C349" i="3"/>
  <c r="D349" i="3" s="1"/>
  <c r="B351" i="3" l="1"/>
  <c r="C350" i="3"/>
  <c r="D350" i="3" s="1"/>
  <c r="B352" i="3" l="1"/>
  <c r="C351" i="3"/>
  <c r="D351" i="3" s="1"/>
  <c r="B353" i="3" l="1"/>
  <c r="C352" i="3"/>
  <c r="D352" i="3" s="1"/>
  <c r="C353" i="3" l="1"/>
  <c r="D353" i="3" s="1"/>
  <c r="B354" i="3"/>
  <c r="B355" i="3" l="1"/>
  <c r="C354" i="3"/>
  <c r="D354" i="3" s="1"/>
  <c r="C355" i="3" l="1"/>
  <c r="D355" i="3" s="1"/>
  <c r="B356" i="3"/>
  <c r="C356" i="3" l="1"/>
  <c r="D356" i="3" s="1"/>
  <c r="B357" i="3"/>
  <c r="B358" i="3" l="1"/>
  <c r="C357" i="3"/>
  <c r="D357" i="3" s="1"/>
  <c r="C358" i="3" l="1"/>
  <c r="D358" i="3" s="1"/>
  <c r="B359" i="3"/>
  <c r="C359" i="3" l="1"/>
  <c r="D359" i="3" s="1"/>
  <c r="B360" i="3"/>
  <c r="B361" i="3" l="1"/>
  <c r="C360" i="3"/>
  <c r="D360" i="3" s="1"/>
  <c r="C361" i="3" l="1"/>
  <c r="D361" i="3" s="1"/>
  <c r="B362" i="3"/>
  <c r="C362" i="3" l="1"/>
  <c r="D362" i="3" s="1"/>
  <c r="B363" i="3"/>
  <c r="C363" i="3" l="1"/>
  <c r="D363" i="3" s="1"/>
  <c r="B364" i="3"/>
  <c r="C364" i="3" l="1"/>
  <c r="D364" i="3" s="1"/>
  <c r="B365" i="3"/>
  <c r="C365" i="3" l="1"/>
  <c r="D365" i="3" s="1"/>
  <c r="B366" i="3"/>
  <c r="B367" i="3" l="1"/>
  <c r="C366" i="3"/>
  <c r="D366" i="3" s="1"/>
  <c r="C367" i="3" l="1"/>
  <c r="D367" i="3" s="1"/>
  <c r="B368" i="3"/>
  <c r="C368" i="3" l="1"/>
  <c r="D368" i="3" s="1"/>
  <c r="B369" i="3"/>
  <c r="C369" i="3" l="1"/>
  <c r="D369" i="3" s="1"/>
  <c r="B370" i="3"/>
  <c r="C370" i="3" l="1"/>
  <c r="D370" i="3" s="1"/>
  <c r="B371" i="3"/>
  <c r="B372" i="3" l="1"/>
  <c r="C371" i="3"/>
  <c r="D371" i="3" s="1"/>
  <c r="C372" i="3" l="1"/>
  <c r="D372" i="3" s="1"/>
  <c r="B373" i="3"/>
  <c r="C373" i="3" l="1"/>
  <c r="D373" i="3" s="1"/>
  <c r="B374" i="3"/>
  <c r="C374" i="3" l="1"/>
  <c r="D374" i="3" s="1"/>
  <c r="B375" i="3"/>
  <c r="C375" i="3" l="1"/>
  <c r="D375" i="3" s="1"/>
  <c r="B376" i="3"/>
  <c r="C376" i="3" l="1"/>
  <c r="D376" i="3" s="1"/>
  <c r="B377" i="3"/>
  <c r="B378" i="3" l="1"/>
  <c r="C377" i="3"/>
  <c r="D377" i="3" s="1"/>
  <c r="C378" i="3" l="1"/>
  <c r="D378" i="3" s="1"/>
  <c r="B379" i="3"/>
  <c r="C379" i="3" l="1"/>
  <c r="D379" i="3" s="1"/>
  <c r="B380" i="3"/>
  <c r="B381" i="3" l="1"/>
  <c r="C380" i="3"/>
  <c r="D380" i="3" s="1"/>
  <c r="C381" i="3" l="1"/>
  <c r="D381" i="3" s="1"/>
  <c r="B382" i="3"/>
  <c r="B383" i="3" l="1"/>
  <c r="C382" i="3"/>
  <c r="D382" i="3" s="1"/>
  <c r="C383" i="3" l="1"/>
  <c r="D383" i="3" s="1"/>
  <c r="B384" i="3"/>
  <c r="C384" i="3" l="1"/>
  <c r="D384" i="3" s="1"/>
  <c r="B385" i="3"/>
  <c r="C385" i="3" l="1"/>
  <c r="D385" i="3" s="1"/>
  <c r="B386" i="3"/>
  <c r="C386" i="3" l="1"/>
  <c r="D386" i="3" s="1"/>
  <c r="B387" i="3"/>
  <c r="C387" i="3" l="1"/>
  <c r="D387" i="3" s="1"/>
  <c r="B388" i="3"/>
  <c r="C388" i="3" l="1"/>
  <c r="D388" i="3" s="1"/>
  <c r="B389" i="3"/>
  <c r="B390" i="3" l="1"/>
  <c r="C389" i="3"/>
  <c r="D389" i="3" s="1"/>
  <c r="C390" i="3" l="1"/>
  <c r="D390" i="3" s="1"/>
  <c r="B391" i="3"/>
  <c r="C391" i="3" l="1"/>
  <c r="D391" i="3" s="1"/>
  <c r="B392" i="3"/>
  <c r="C392" i="3" l="1"/>
  <c r="D392" i="3" s="1"/>
  <c r="B393" i="3"/>
  <c r="C393" i="3" l="1"/>
  <c r="D393" i="3" s="1"/>
  <c r="B394" i="3"/>
  <c r="C394" i="3" l="1"/>
  <c r="D394" i="3" s="1"/>
  <c r="B395" i="3"/>
  <c r="C395" i="3" l="1"/>
  <c r="D395" i="3" s="1"/>
  <c r="B396" i="3"/>
  <c r="C396" i="3" l="1"/>
  <c r="D396" i="3" s="1"/>
  <c r="B397" i="3"/>
  <c r="C397" i="3" l="1"/>
  <c r="D397" i="3" s="1"/>
  <c r="B398" i="3"/>
  <c r="B399" i="3" l="1"/>
  <c r="C398" i="3"/>
  <c r="D398" i="3" s="1"/>
  <c r="C399" i="3" l="1"/>
  <c r="D399" i="3" s="1"/>
  <c r="B400" i="3"/>
  <c r="C400" i="3" l="1"/>
  <c r="D400" i="3" s="1"/>
  <c r="B401" i="3"/>
  <c r="C401" i="3" l="1"/>
  <c r="D401" i="3" s="1"/>
  <c r="B402" i="3"/>
  <c r="B403" i="3" l="1"/>
  <c r="C402" i="3"/>
  <c r="D402" i="3" s="1"/>
  <c r="C403" i="3" l="1"/>
  <c r="D403" i="3" s="1"/>
  <c r="B404" i="3"/>
  <c r="C404" i="3" l="1"/>
  <c r="D404" i="3" s="1"/>
  <c r="B405" i="3"/>
  <c r="C405" i="3" l="1"/>
  <c r="D405" i="3" s="1"/>
  <c r="B406" i="3"/>
  <c r="C406" i="3" l="1"/>
  <c r="D406" i="3" s="1"/>
  <c r="B407" i="3"/>
  <c r="C407" i="3" l="1"/>
  <c r="D407" i="3" s="1"/>
  <c r="B408" i="3"/>
  <c r="C408" i="3" l="1"/>
  <c r="D408" i="3" s="1"/>
  <c r="B409" i="3"/>
  <c r="C409" i="3" l="1"/>
  <c r="D409" i="3" s="1"/>
  <c r="B410" i="3"/>
  <c r="C410" i="3" l="1"/>
  <c r="D410" i="3" s="1"/>
  <c r="B411" i="3"/>
  <c r="C411" i="3" l="1"/>
  <c r="D411" i="3" s="1"/>
  <c r="B412" i="3"/>
  <c r="C412" i="3" l="1"/>
  <c r="D412" i="3" s="1"/>
  <c r="B413" i="3"/>
  <c r="B414" i="3" l="1"/>
  <c r="C413" i="3"/>
  <c r="D413" i="3" s="1"/>
  <c r="B415" i="3" l="1"/>
  <c r="C414" i="3"/>
  <c r="D414" i="3" s="1"/>
  <c r="B416" i="3" l="1"/>
  <c r="C415" i="3"/>
  <c r="D415" i="3" s="1"/>
  <c r="C416" i="3" l="1"/>
  <c r="D416" i="3" s="1"/>
  <c r="B417" i="3"/>
  <c r="C417" i="3" l="1"/>
  <c r="D417" i="3" s="1"/>
  <c r="B418" i="3"/>
  <c r="C418" i="3" l="1"/>
  <c r="D418" i="3" s="1"/>
  <c r="B419" i="3"/>
  <c r="B420" i="3" l="1"/>
  <c r="C419" i="3"/>
  <c r="D419" i="3" s="1"/>
  <c r="C420" i="3" l="1"/>
  <c r="D420" i="3" s="1"/>
  <c r="B421" i="3"/>
  <c r="B422" i="3" l="1"/>
  <c r="C421" i="3"/>
  <c r="D421" i="3" s="1"/>
  <c r="C422" i="3" l="1"/>
  <c r="D422" i="3" s="1"/>
  <c r="B423" i="3"/>
  <c r="C423" i="3" l="1"/>
  <c r="D423" i="3" s="1"/>
  <c r="B424" i="3"/>
  <c r="C424" i="3" l="1"/>
  <c r="D424" i="3" s="1"/>
  <c r="B425" i="3"/>
  <c r="B426" i="3" l="1"/>
  <c r="C425" i="3"/>
  <c r="D425" i="3" s="1"/>
  <c r="C426" i="3" l="1"/>
  <c r="D426" i="3" s="1"/>
  <c r="B427" i="3"/>
  <c r="B428" i="3" l="1"/>
  <c r="C427" i="3"/>
  <c r="D427" i="3" s="1"/>
  <c r="C428" i="3" l="1"/>
  <c r="D428" i="3" s="1"/>
  <c r="B429" i="3"/>
  <c r="C429" i="3" l="1"/>
  <c r="D429" i="3" s="1"/>
  <c r="B430" i="3"/>
  <c r="B431" i="3" l="1"/>
  <c r="C430" i="3"/>
  <c r="D430" i="3" s="1"/>
  <c r="C431" i="3" l="1"/>
  <c r="D431" i="3" s="1"/>
  <c r="B432" i="3"/>
  <c r="C432" i="3" l="1"/>
  <c r="D432" i="3" s="1"/>
  <c r="B433" i="3"/>
  <c r="B434" i="3" l="1"/>
  <c r="C433" i="3"/>
  <c r="D433" i="3" s="1"/>
  <c r="C434" i="3" l="1"/>
  <c r="D434" i="3" s="1"/>
  <c r="B435" i="3"/>
  <c r="C435" i="3" l="1"/>
  <c r="D435" i="3" s="1"/>
  <c r="B436" i="3"/>
  <c r="C436" i="3" l="1"/>
  <c r="D436" i="3" s="1"/>
  <c r="B437" i="3"/>
  <c r="C437" i="3" l="1"/>
  <c r="D437" i="3" s="1"/>
  <c r="B438" i="3"/>
  <c r="C438" i="3" l="1"/>
  <c r="D438" i="3" s="1"/>
  <c r="B439" i="3"/>
  <c r="B440" i="3" l="1"/>
  <c r="C439" i="3"/>
  <c r="D439" i="3" s="1"/>
  <c r="C440" i="3" l="1"/>
  <c r="D440" i="3" s="1"/>
  <c r="B441" i="3"/>
  <c r="B442" i="3" l="1"/>
  <c r="C441" i="3"/>
  <c r="D441" i="3" s="1"/>
  <c r="C442" i="3" l="1"/>
  <c r="D442" i="3" s="1"/>
  <c r="B443" i="3"/>
  <c r="C443" i="3" l="1"/>
  <c r="D443" i="3" s="1"/>
  <c r="B444" i="3"/>
  <c r="C444" i="3" l="1"/>
  <c r="D444" i="3" s="1"/>
  <c r="B445" i="3"/>
  <c r="B446" i="3" l="1"/>
  <c r="C445" i="3"/>
  <c r="D445" i="3" s="1"/>
  <c r="B447" i="3" l="1"/>
  <c r="C446" i="3"/>
  <c r="D446" i="3" s="1"/>
  <c r="C447" i="3" l="1"/>
  <c r="D447" i="3" s="1"/>
  <c r="B448" i="3"/>
  <c r="C448" i="3" l="1"/>
  <c r="D448" i="3" s="1"/>
  <c r="B449" i="3"/>
  <c r="C449" i="3" l="1"/>
  <c r="D449" i="3" s="1"/>
  <c r="B450" i="3"/>
  <c r="C450" i="3" l="1"/>
  <c r="D450" i="3" s="1"/>
  <c r="B451" i="3"/>
  <c r="B452" i="3" l="1"/>
  <c r="C451" i="3"/>
  <c r="D451" i="3" s="1"/>
  <c r="C452" i="3" l="1"/>
  <c r="D452" i="3" s="1"/>
  <c r="B453" i="3"/>
  <c r="C453" i="3" l="1"/>
  <c r="D453" i="3" s="1"/>
  <c r="B454" i="3"/>
  <c r="B455" i="3" l="1"/>
  <c r="C454" i="3"/>
  <c r="D454" i="3" s="1"/>
  <c r="B456" i="3" l="1"/>
  <c r="C455" i="3"/>
  <c r="D455" i="3" s="1"/>
  <c r="C456" i="3" l="1"/>
  <c r="D456" i="3" s="1"/>
  <c r="B457" i="3"/>
  <c r="B458" i="3" l="1"/>
  <c r="C457" i="3"/>
  <c r="D457" i="3" s="1"/>
  <c r="C458" i="3" l="1"/>
  <c r="D458" i="3" s="1"/>
  <c r="B459" i="3"/>
  <c r="B460" i="3" l="1"/>
  <c r="C459" i="3"/>
  <c r="D459" i="3" s="1"/>
  <c r="C460" i="3" l="1"/>
  <c r="D460" i="3" s="1"/>
  <c r="B461" i="3"/>
  <c r="C461" i="3" l="1"/>
  <c r="D461" i="3" s="1"/>
  <c r="B462" i="3"/>
  <c r="C462" i="3" l="1"/>
  <c r="D462" i="3" s="1"/>
  <c r="B463" i="3"/>
  <c r="C463" i="3" l="1"/>
  <c r="D463" i="3" s="1"/>
  <c r="B464" i="3"/>
  <c r="C464" i="3" l="1"/>
  <c r="D464" i="3" s="1"/>
  <c r="B465" i="3"/>
  <c r="B466" i="3" l="1"/>
  <c r="C465" i="3"/>
  <c r="D465" i="3" s="1"/>
  <c r="C466" i="3" l="1"/>
  <c r="D466" i="3" s="1"/>
  <c r="B467" i="3"/>
  <c r="C467" i="3" l="1"/>
  <c r="D467" i="3" s="1"/>
  <c r="B468" i="3"/>
  <c r="C468" i="3" l="1"/>
  <c r="D468" i="3" s="1"/>
  <c r="B469" i="3"/>
  <c r="C469" i="3" l="1"/>
  <c r="D469" i="3" s="1"/>
  <c r="B470" i="3"/>
  <c r="B471" i="3" l="1"/>
  <c r="C470" i="3"/>
  <c r="D470" i="3" s="1"/>
  <c r="B472" i="3" l="1"/>
  <c r="C471" i="3"/>
  <c r="D471" i="3" s="1"/>
  <c r="B473" i="3" l="1"/>
  <c r="C472" i="3"/>
  <c r="D472" i="3" s="1"/>
  <c r="B474" i="3" l="1"/>
  <c r="C473" i="3"/>
  <c r="D473" i="3" s="1"/>
  <c r="C474" i="3" l="1"/>
  <c r="D474" i="3" s="1"/>
  <c r="B475" i="3"/>
  <c r="C475" i="3" l="1"/>
  <c r="D475" i="3" s="1"/>
  <c r="B476" i="3"/>
  <c r="C476" i="3" l="1"/>
  <c r="D476" i="3" s="1"/>
  <c r="B477" i="3"/>
  <c r="B478" i="3" l="1"/>
  <c r="C477" i="3"/>
  <c r="D477" i="3" s="1"/>
  <c r="C478" i="3" l="1"/>
  <c r="D478" i="3" s="1"/>
  <c r="B479" i="3"/>
  <c r="C479" i="3" l="1"/>
  <c r="D479" i="3" s="1"/>
  <c r="B480" i="3"/>
  <c r="C480" i="3" l="1"/>
  <c r="D480" i="3" s="1"/>
  <c r="B481" i="3"/>
  <c r="C481" i="3" l="1"/>
  <c r="D481" i="3" s="1"/>
  <c r="B482" i="3"/>
  <c r="C482" i="3" l="1"/>
  <c r="D482" i="3" s="1"/>
  <c r="B483" i="3"/>
  <c r="C483" i="3" l="1"/>
  <c r="D483" i="3" s="1"/>
  <c r="B484" i="3"/>
  <c r="C484" i="3" l="1"/>
  <c r="D484" i="3" s="1"/>
  <c r="B485" i="3"/>
  <c r="B486" i="3" l="1"/>
  <c r="C485" i="3"/>
  <c r="D485" i="3" s="1"/>
  <c r="C486" i="3" l="1"/>
  <c r="D486" i="3" s="1"/>
  <c r="B487" i="3"/>
  <c r="C487" i="3" l="1"/>
  <c r="D487" i="3" s="1"/>
  <c r="B488" i="3"/>
  <c r="B489" i="3" l="1"/>
  <c r="C488" i="3"/>
  <c r="D488" i="3" s="1"/>
  <c r="B490" i="3" l="1"/>
  <c r="C489" i="3"/>
  <c r="D489" i="3" s="1"/>
  <c r="C490" i="3" l="1"/>
  <c r="D490" i="3" s="1"/>
  <c r="B491" i="3"/>
  <c r="C491" i="3" l="1"/>
  <c r="D491" i="3" s="1"/>
  <c r="B492" i="3"/>
  <c r="C492" i="3" l="1"/>
  <c r="D492" i="3" s="1"/>
  <c r="B493" i="3"/>
  <c r="C493" i="3" l="1"/>
  <c r="D493" i="3" s="1"/>
  <c r="B494" i="3"/>
  <c r="B495" i="3" l="1"/>
  <c r="C494" i="3"/>
  <c r="D494" i="3" s="1"/>
  <c r="C495" i="3" l="1"/>
  <c r="D495" i="3" s="1"/>
  <c r="B496" i="3"/>
  <c r="C496" i="3" l="1"/>
  <c r="D496" i="3" s="1"/>
  <c r="B497" i="3"/>
  <c r="C497" i="3" l="1"/>
  <c r="D497" i="3" s="1"/>
  <c r="B498" i="3"/>
  <c r="B499" i="3" l="1"/>
  <c r="C498" i="3"/>
  <c r="D498" i="3" s="1"/>
  <c r="C499" i="3" l="1"/>
  <c r="D499" i="3" s="1"/>
  <c r="B500" i="3"/>
  <c r="C500" i="3" l="1"/>
  <c r="D500" i="3" s="1"/>
  <c r="B501" i="3"/>
  <c r="B502" i="3" l="1"/>
  <c r="C501" i="3"/>
  <c r="D501" i="3" s="1"/>
  <c r="B503" i="3" l="1"/>
  <c r="C502" i="3"/>
  <c r="D502" i="3" s="1"/>
  <c r="C503" i="3" l="1"/>
  <c r="D503" i="3" s="1"/>
  <c r="B504" i="3"/>
  <c r="B505" i="3" l="1"/>
  <c r="C504" i="3"/>
  <c r="D504" i="3" s="1"/>
  <c r="B506" i="3" l="1"/>
  <c r="C505" i="3"/>
  <c r="D505" i="3" s="1"/>
  <c r="C506" i="3" l="1"/>
  <c r="D506" i="3" s="1"/>
  <c r="B507" i="3"/>
  <c r="C507" i="3" l="1"/>
  <c r="D507" i="3" s="1"/>
  <c r="B508" i="3"/>
  <c r="B509" i="3" l="1"/>
  <c r="C508" i="3"/>
  <c r="D508" i="3" s="1"/>
  <c r="C509" i="3" l="1"/>
  <c r="D509" i="3" s="1"/>
  <c r="B510" i="3"/>
  <c r="C510" i="3" l="1"/>
  <c r="D510" i="3" s="1"/>
  <c r="B511" i="3"/>
  <c r="C511" i="3" l="1"/>
  <c r="D511" i="3" s="1"/>
  <c r="B512" i="3"/>
  <c r="B513" i="3" l="1"/>
  <c r="C512" i="3"/>
  <c r="D512" i="3" s="1"/>
  <c r="C513" i="3" l="1"/>
  <c r="D513" i="3" s="1"/>
  <c r="B514" i="3"/>
  <c r="C514" i="3" l="1"/>
  <c r="D514" i="3" s="1"/>
  <c r="B515" i="3"/>
  <c r="B516" i="3" l="1"/>
  <c r="C515" i="3"/>
  <c r="D515" i="3" s="1"/>
  <c r="C516" i="3" l="1"/>
  <c r="D516" i="3" s="1"/>
  <c r="B517" i="3"/>
  <c r="C517" i="3" l="1"/>
  <c r="D517" i="3" s="1"/>
  <c r="B518" i="3"/>
  <c r="C518" i="3" l="1"/>
  <c r="D518" i="3" s="1"/>
  <c r="B519" i="3"/>
  <c r="C519" i="3" l="1"/>
  <c r="D519" i="3" s="1"/>
  <c r="B520" i="3"/>
  <c r="C520" i="3" l="1"/>
  <c r="D520" i="3" s="1"/>
  <c r="B521" i="3"/>
  <c r="B522" i="3" l="1"/>
  <c r="C521" i="3"/>
  <c r="D521" i="3" s="1"/>
  <c r="B523" i="3" l="1"/>
  <c r="C522" i="3"/>
  <c r="D522" i="3" s="1"/>
  <c r="C523" i="3" l="1"/>
  <c r="D523" i="3" s="1"/>
  <c r="B524" i="3"/>
  <c r="C524" i="3" l="1"/>
  <c r="D524" i="3" s="1"/>
  <c r="B525" i="3"/>
  <c r="C525" i="3" l="1"/>
  <c r="D525" i="3" s="1"/>
  <c r="B526" i="3"/>
  <c r="C526" i="3" l="1"/>
  <c r="D526" i="3" s="1"/>
  <c r="B527" i="3"/>
  <c r="C527" i="3" l="1"/>
  <c r="D527" i="3" s="1"/>
  <c r="B528" i="3"/>
  <c r="B529" i="3" l="1"/>
  <c r="C528" i="3"/>
  <c r="D528" i="3" s="1"/>
  <c r="B530" i="3" l="1"/>
  <c r="C529" i="3"/>
  <c r="D529" i="3" s="1"/>
  <c r="B531" i="3" l="1"/>
  <c r="C530" i="3"/>
  <c r="D530" i="3" s="1"/>
  <c r="C531" i="3" l="1"/>
  <c r="D531" i="3" s="1"/>
  <c r="B532" i="3"/>
  <c r="C532" i="3" l="1"/>
  <c r="D532" i="3" s="1"/>
  <c r="B533" i="3"/>
  <c r="C533" i="3" l="1"/>
  <c r="D533" i="3" s="1"/>
  <c r="B534" i="3"/>
  <c r="C534" i="3" l="1"/>
  <c r="D534" i="3" s="1"/>
  <c r="B535" i="3"/>
  <c r="B536" i="3" l="1"/>
  <c r="C535" i="3"/>
  <c r="D535" i="3" s="1"/>
  <c r="C536" i="3" l="1"/>
  <c r="D536" i="3" s="1"/>
  <c r="B537" i="3"/>
  <c r="B538" i="3" l="1"/>
  <c r="C537" i="3"/>
  <c r="D537" i="3" s="1"/>
  <c r="C538" i="3" l="1"/>
  <c r="D538" i="3" s="1"/>
  <c r="B539" i="3"/>
  <c r="B540" i="3" l="1"/>
  <c r="C539" i="3"/>
  <c r="D539" i="3" s="1"/>
  <c r="B541" i="3" l="1"/>
  <c r="C540" i="3"/>
  <c r="D540" i="3" s="1"/>
  <c r="C541" i="3" l="1"/>
  <c r="D541" i="3" s="1"/>
  <c r="B542" i="3"/>
  <c r="B543" i="3" l="1"/>
  <c r="C542" i="3"/>
  <c r="D542" i="3" s="1"/>
  <c r="B544" i="3" l="1"/>
  <c r="C543" i="3"/>
  <c r="D543" i="3" s="1"/>
  <c r="C544" i="3" l="1"/>
  <c r="D544" i="3" s="1"/>
  <c r="B545" i="3"/>
  <c r="C545" i="3" l="1"/>
  <c r="D545" i="3" s="1"/>
  <c r="B546" i="3"/>
  <c r="C546" i="3" l="1"/>
  <c r="D546" i="3" s="1"/>
  <c r="B547" i="3"/>
  <c r="C547" i="3" l="1"/>
  <c r="D547" i="3" s="1"/>
  <c r="B548" i="3"/>
  <c r="B549" i="3" l="1"/>
  <c r="C548" i="3"/>
  <c r="D548" i="3" s="1"/>
  <c r="B550" i="3" l="1"/>
  <c r="C549" i="3"/>
  <c r="D549" i="3" s="1"/>
  <c r="C550" i="3" l="1"/>
  <c r="D550" i="3" s="1"/>
  <c r="B551" i="3"/>
  <c r="C551" i="3" l="1"/>
  <c r="D551" i="3" s="1"/>
  <c r="B552" i="3"/>
  <c r="C552" i="3" l="1"/>
  <c r="D552" i="3" s="1"/>
  <c r="B553" i="3"/>
  <c r="C553" i="3" l="1"/>
  <c r="D553" i="3" s="1"/>
  <c r="B554" i="3"/>
  <c r="B555" i="3" l="1"/>
  <c r="C554" i="3"/>
  <c r="D554" i="3" s="1"/>
  <c r="B556" i="3" l="1"/>
  <c r="C555" i="3"/>
  <c r="D555" i="3" s="1"/>
  <c r="B557" i="3" l="1"/>
  <c r="C556" i="3"/>
  <c r="D556" i="3" s="1"/>
  <c r="C557" i="3" l="1"/>
  <c r="D557" i="3" s="1"/>
  <c r="B558" i="3"/>
  <c r="C558" i="3" l="1"/>
  <c r="D558" i="3" s="1"/>
  <c r="B559" i="3"/>
  <c r="B560" i="3" l="1"/>
  <c r="C559" i="3"/>
  <c r="D559" i="3" s="1"/>
  <c r="B561" i="3" l="1"/>
  <c r="C560" i="3"/>
  <c r="D560" i="3" s="1"/>
  <c r="C561" i="3" l="1"/>
  <c r="D561" i="3" s="1"/>
  <c r="B562" i="3"/>
  <c r="C562" i="3" l="1"/>
  <c r="D562" i="3" s="1"/>
  <c r="B563" i="3"/>
  <c r="C563" i="3" l="1"/>
  <c r="D563" i="3" s="1"/>
  <c r="B564" i="3"/>
  <c r="C564" i="3" l="1"/>
  <c r="D564" i="3" s="1"/>
  <c r="B565" i="3"/>
  <c r="B566" i="3" l="1"/>
  <c r="C565" i="3"/>
  <c r="D565" i="3" s="1"/>
  <c r="C566" i="3" l="1"/>
  <c r="D566" i="3" s="1"/>
  <c r="B567" i="3"/>
  <c r="B568" i="3" l="1"/>
  <c r="C567" i="3"/>
  <c r="D567" i="3" s="1"/>
  <c r="C568" i="3" l="1"/>
  <c r="D568" i="3" s="1"/>
  <c r="B569" i="3"/>
  <c r="C569" i="3" l="1"/>
  <c r="D569" i="3" s="1"/>
  <c r="B570" i="3"/>
  <c r="C570" i="3" l="1"/>
  <c r="D570" i="3" s="1"/>
  <c r="B571" i="3"/>
  <c r="B572" i="3" l="1"/>
  <c r="C571" i="3"/>
  <c r="D571" i="3" s="1"/>
  <c r="B573" i="3" l="1"/>
  <c r="C572" i="3"/>
  <c r="D572" i="3" s="1"/>
  <c r="B574" i="3" l="1"/>
  <c r="C573" i="3"/>
  <c r="D573" i="3" s="1"/>
  <c r="C574" i="3" l="1"/>
  <c r="D574" i="3" s="1"/>
  <c r="B575" i="3"/>
  <c r="C575" i="3" l="1"/>
  <c r="D575" i="3" s="1"/>
  <c r="B576" i="3"/>
  <c r="C576" i="3" l="1"/>
  <c r="D576" i="3" s="1"/>
  <c r="B577" i="3"/>
  <c r="C577" i="3" l="1"/>
  <c r="D577" i="3" s="1"/>
  <c r="B578" i="3"/>
  <c r="C578" i="3" l="1"/>
  <c r="D578" i="3" s="1"/>
  <c r="B579" i="3"/>
  <c r="B580" i="3" l="1"/>
  <c r="C579" i="3"/>
  <c r="D579" i="3" s="1"/>
  <c r="C580" i="3" l="1"/>
  <c r="D580" i="3" s="1"/>
  <c r="B581" i="3"/>
  <c r="C581" i="3" l="1"/>
  <c r="D581" i="3" s="1"/>
  <c r="B582" i="3"/>
  <c r="C582" i="3" l="1"/>
  <c r="D582" i="3" s="1"/>
  <c r="B583" i="3"/>
  <c r="C583" i="3" l="1"/>
  <c r="D583" i="3" s="1"/>
  <c r="B584" i="3"/>
  <c r="B585" i="3" l="1"/>
  <c r="C584" i="3"/>
  <c r="D584" i="3" s="1"/>
  <c r="C585" i="3" l="1"/>
  <c r="D585" i="3" s="1"/>
  <c r="B586" i="3"/>
  <c r="C586" i="3" l="1"/>
  <c r="D586" i="3" s="1"/>
  <c r="B587" i="3"/>
  <c r="B588" i="3" l="1"/>
  <c r="C587" i="3"/>
  <c r="D587" i="3" s="1"/>
  <c r="B589" i="3" l="1"/>
  <c r="C588" i="3"/>
  <c r="D588" i="3" s="1"/>
  <c r="B590" i="3" l="1"/>
  <c r="C589" i="3"/>
  <c r="D589" i="3" s="1"/>
  <c r="C590" i="3" l="1"/>
  <c r="D590" i="3" s="1"/>
  <c r="B591" i="3"/>
  <c r="C591" i="3" l="1"/>
  <c r="D591" i="3" s="1"/>
  <c r="B592" i="3"/>
  <c r="C592" i="3" l="1"/>
  <c r="D592" i="3" s="1"/>
  <c r="B593" i="3"/>
  <c r="C593" i="3" l="1"/>
  <c r="D593" i="3" s="1"/>
  <c r="B594" i="3"/>
  <c r="C594" i="3" l="1"/>
  <c r="D594" i="3" s="1"/>
  <c r="B595" i="3"/>
  <c r="B596" i="3" l="1"/>
  <c r="C595" i="3"/>
  <c r="D595" i="3" s="1"/>
  <c r="C596" i="3" l="1"/>
  <c r="D596" i="3" s="1"/>
  <c r="B597" i="3"/>
  <c r="C597" i="3" l="1"/>
  <c r="D597" i="3" s="1"/>
  <c r="B598" i="3"/>
  <c r="C598" i="3" l="1"/>
  <c r="D598" i="3" s="1"/>
  <c r="B599" i="3"/>
  <c r="C599" i="3" l="1"/>
  <c r="D599" i="3" s="1"/>
  <c r="B600" i="3"/>
  <c r="C600" i="3" l="1"/>
  <c r="D600" i="3" s="1"/>
  <c r="B601" i="3"/>
  <c r="B602" i="3" l="1"/>
  <c r="C601" i="3"/>
  <c r="D601" i="3" s="1"/>
  <c r="C602" i="3" l="1"/>
  <c r="D602" i="3" s="1"/>
  <c r="B603" i="3"/>
  <c r="B604" i="3" l="1"/>
  <c r="C603" i="3"/>
  <c r="D603" i="3" s="1"/>
  <c r="C604" i="3" l="1"/>
  <c r="D604" i="3" s="1"/>
  <c r="B605" i="3"/>
  <c r="C605" i="3" l="1"/>
  <c r="D605" i="3" s="1"/>
  <c r="B606" i="3"/>
  <c r="C606" i="3" l="1"/>
  <c r="D606" i="3" s="1"/>
  <c r="B607" i="3"/>
  <c r="C607" i="3" l="1"/>
  <c r="D607" i="3" s="1"/>
  <c r="B608" i="3"/>
  <c r="C608" i="3" l="1"/>
  <c r="D608" i="3" s="1"/>
  <c r="B609" i="3"/>
  <c r="C609" i="3" l="1"/>
  <c r="D609" i="3" s="1"/>
  <c r="B610" i="3"/>
  <c r="C610" i="3" l="1"/>
  <c r="D610" i="3" s="1"/>
  <c r="B611" i="3"/>
  <c r="C611" i="3" l="1"/>
  <c r="D611" i="3" s="1"/>
  <c r="B612" i="3"/>
  <c r="B613" i="3" l="1"/>
  <c r="C612" i="3"/>
  <c r="D612" i="3" s="1"/>
  <c r="C613" i="3" l="1"/>
  <c r="D613" i="3" s="1"/>
  <c r="B614" i="3"/>
  <c r="C614" i="3" l="1"/>
  <c r="D614" i="3" s="1"/>
  <c r="B615" i="3"/>
  <c r="B616" i="3" l="1"/>
  <c r="C615" i="3"/>
  <c r="D615" i="3" s="1"/>
  <c r="C616" i="3" l="1"/>
  <c r="D616" i="3" s="1"/>
  <c r="B617" i="3"/>
  <c r="C617" i="3" l="1"/>
  <c r="D617" i="3" s="1"/>
  <c r="B618" i="3"/>
  <c r="C618" i="3" l="1"/>
  <c r="D618" i="3" s="1"/>
  <c r="B619" i="3"/>
  <c r="B620" i="3" l="1"/>
  <c r="C619" i="3"/>
  <c r="D619" i="3" s="1"/>
  <c r="B621" i="3" l="1"/>
  <c r="C620" i="3"/>
  <c r="D620" i="3" s="1"/>
  <c r="C621" i="3" l="1"/>
  <c r="D621" i="3" s="1"/>
  <c r="B622" i="3"/>
  <c r="C622" i="3" l="1"/>
  <c r="D622" i="3" s="1"/>
  <c r="B623" i="3"/>
  <c r="C623" i="3" l="1"/>
  <c r="D623" i="3" s="1"/>
  <c r="B624" i="3"/>
  <c r="C624" i="3" l="1"/>
  <c r="D624" i="3" s="1"/>
  <c r="B625" i="3"/>
  <c r="C625" i="3" l="1"/>
  <c r="D625" i="3" s="1"/>
  <c r="B626" i="3"/>
  <c r="B627" i="3" l="1"/>
  <c r="C626" i="3"/>
  <c r="D626" i="3" s="1"/>
  <c r="C627" i="3" l="1"/>
  <c r="D627" i="3" s="1"/>
  <c r="B628" i="3"/>
  <c r="C628" i="3" l="1"/>
  <c r="D628" i="3" s="1"/>
  <c r="B629" i="3"/>
  <c r="C629" i="3" l="1"/>
  <c r="D629" i="3" s="1"/>
  <c r="B630" i="3"/>
  <c r="C630" i="3" l="1"/>
  <c r="D630" i="3" s="1"/>
  <c r="B631" i="3"/>
  <c r="C631" i="3" l="1"/>
  <c r="D631" i="3" s="1"/>
  <c r="B632" i="3"/>
  <c r="B633" i="3" l="1"/>
  <c r="C632" i="3"/>
  <c r="D632" i="3" s="1"/>
  <c r="C633" i="3" l="1"/>
  <c r="D633" i="3" s="1"/>
  <c r="B634" i="3"/>
  <c r="C634" i="3" l="1"/>
  <c r="D634" i="3" s="1"/>
  <c r="B635" i="3"/>
  <c r="B636" i="3" l="1"/>
  <c r="C635" i="3"/>
  <c r="D635" i="3" s="1"/>
  <c r="B637" i="3" l="1"/>
  <c r="C636" i="3"/>
  <c r="D636" i="3" s="1"/>
  <c r="C637" i="3" l="1"/>
  <c r="D637" i="3" s="1"/>
  <c r="B638" i="3"/>
  <c r="C638" i="3" l="1"/>
  <c r="D638" i="3" s="1"/>
  <c r="B639" i="3"/>
  <c r="C639" i="3" l="1"/>
  <c r="D639" i="3" s="1"/>
  <c r="B640" i="3"/>
  <c r="B641" i="3" l="1"/>
  <c r="C640" i="3"/>
  <c r="D640" i="3" s="1"/>
  <c r="C641" i="3" l="1"/>
  <c r="D641" i="3" s="1"/>
  <c r="B642" i="3"/>
  <c r="C642" i="3" l="1"/>
  <c r="D642" i="3" s="1"/>
  <c r="B643" i="3"/>
  <c r="B644" i="3" l="1"/>
  <c r="C643" i="3"/>
  <c r="D643" i="3" s="1"/>
  <c r="C644" i="3" l="1"/>
  <c r="D644" i="3" s="1"/>
  <c r="B645" i="3"/>
  <c r="C645" i="3" l="1"/>
  <c r="D645" i="3" s="1"/>
  <c r="B646" i="3"/>
  <c r="B647" i="3" l="1"/>
  <c r="C646" i="3"/>
  <c r="D646" i="3" s="1"/>
  <c r="B648" i="3" l="1"/>
  <c r="C647" i="3"/>
  <c r="D647" i="3" s="1"/>
  <c r="B649" i="3" l="1"/>
  <c r="C648" i="3"/>
  <c r="D648" i="3" s="1"/>
  <c r="C649" i="3" l="1"/>
  <c r="D649" i="3" s="1"/>
  <c r="B650" i="3"/>
  <c r="C650" i="3" l="1"/>
  <c r="D650" i="3" s="1"/>
  <c r="B651" i="3"/>
  <c r="C651" i="3" l="1"/>
  <c r="D651" i="3" s="1"/>
  <c r="B652" i="3"/>
  <c r="C652" i="3" l="1"/>
  <c r="D652" i="3" s="1"/>
  <c r="B653" i="3"/>
  <c r="C653" i="3" l="1"/>
  <c r="D653" i="3" s="1"/>
  <c r="B654" i="3"/>
  <c r="C654" i="3" l="1"/>
  <c r="D654" i="3" s="1"/>
  <c r="B655" i="3"/>
  <c r="C655" i="3" l="1"/>
  <c r="D655" i="3" s="1"/>
  <c r="B656" i="3"/>
  <c r="C656" i="3" l="1"/>
  <c r="D656" i="3" s="1"/>
  <c r="B657" i="3"/>
  <c r="B658" i="3" l="1"/>
  <c r="C657" i="3"/>
  <c r="D657" i="3" s="1"/>
  <c r="B659" i="3" l="1"/>
  <c r="C658" i="3"/>
  <c r="D658" i="3" s="1"/>
  <c r="C659" i="3" l="1"/>
  <c r="D659" i="3" s="1"/>
  <c r="B660" i="3"/>
  <c r="C660" i="3" l="1"/>
  <c r="D660" i="3" s="1"/>
  <c r="B661" i="3"/>
  <c r="C661" i="3" l="1"/>
  <c r="D661" i="3" s="1"/>
  <c r="B662" i="3"/>
  <c r="B663" i="3" l="1"/>
  <c r="C662" i="3"/>
  <c r="D662" i="3" s="1"/>
  <c r="B664" i="3" l="1"/>
  <c r="C663" i="3"/>
  <c r="D663" i="3" s="1"/>
  <c r="C664" i="3" l="1"/>
  <c r="D664" i="3" s="1"/>
  <c r="B665" i="3"/>
  <c r="B666" i="3" l="1"/>
  <c r="C665" i="3"/>
  <c r="D665" i="3" s="1"/>
  <c r="C666" i="3" l="1"/>
  <c r="D666" i="3" s="1"/>
  <c r="B667" i="3"/>
  <c r="C667" i="3" l="1"/>
  <c r="D667" i="3" s="1"/>
  <c r="B668" i="3"/>
  <c r="C668" i="3" l="1"/>
  <c r="D668" i="3" s="1"/>
  <c r="B669" i="3"/>
  <c r="C669" i="3" l="1"/>
  <c r="D669" i="3" s="1"/>
  <c r="B670" i="3"/>
  <c r="B671" i="3" l="1"/>
  <c r="C670" i="3"/>
  <c r="D670" i="3" s="1"/>
  <c r="C671" i="3" l="1"/>
  <c r="D671" i="3" s="1"/>
  <c r="B672" i="3"/>
  <c r="B673" i="3" l="1"/>
  <c r="C672" i="3"/>
  <c r="D672" i="3" s="1"/>
  <c r="C673" i="3" l="1"/>
  <c r="D673" i="3" s="1"/>
  <c r="B674" i="3"/>
  <c r="B675" i="3" l="1"/>
  <c r="C674" i="3"/>
  <c r="D674" i="3" s="1"/>
  <c r="C675" i="3" l="1"/>
  <c r="D675" i="3" s="1"/>
  <c r="B676" i="3"/>
  <c r="B677" i="3" l="1"/>
  <c r="C676" i="3"/>
  <c r="D676" i="3" s="1"/>
  <c r="C677" i="3" l="1"/>
  <c r="D677" i="3" s="1"/>
  <c r="B678" i="3"/>
  <c r="C678" i="3" l="1"/>
  <c r="D678" i="3" s="1"/>
  <c r="B679" i="3"/>
  <c r="C679" i="3" l="1"/>
  <c r="D679" i="3" s="1"/>
  <c r="B680" i="3"/>
  <c r="C680" i="3" l="1"/>
  <c r="D680" i="3" s="1"/>
  <c r="B681" i="3"/>
  <c r="B682" i="3" l="1"/>
  <c r="C681" i="3"/>
  <c r="D681" i="3" s="1"/>
  <c r="C682" i="3" l="1"/>
  <c r="D682" i="3" s="1"/>
  <c r="B683" i="3"/>
  <c r="C683" i="3" l="1"/>
  <c r="D683" i="3" s="1"/>
  <c r="B684" i="3"/>
  <c r="C684" i="3" l="1"/>
  <c r="D684" i="3" s="1"/>
  <c r="B685" i="3"/>
  <c r="C685" i="3" l="1"/>
  <c r="D685" i="3" s="1"/>
  <c r="B686" i="3"/>
  <c r="C686" i="3" l="1"/>
  <c r="D686" i="3" s="1"/>
  <c r="B687" i="3"/>
  <c r="C687" i="3" l="1"/>
  <c r="D687" i="3" s="1"/>
  <c r="B688" i="3"/>
  <c r="C688" i="3" l="1"/>
  <c r="D688" i="3" s="1"/>
  <c r="B689" i="3"/>
  <c r="C689" i="3" l="1"/>
  <c r="D689" i="3" s="1"/>
  <c r="B690" i="3"/>
  <c r="B691" i="3" l="1"/>
  <c r="C690" i="3"/>
  <c r="D690" i="3" s="1"/>
  <c r="C691" i="3" l="1"/>
  <c r="D691" i="3" s="1"/>
  <c r="B692" i="3"/>
  <c r="B693" i="3" l="1"/>
  <c r="C692" i="3"/>
  <c r="D692" i="3" s="1"/>
  <c r="C693" i="3" l="1"/>
  <c r="D693" i="3" s="1"/>
  <c r="B694" i="3"/>
  <c r="C694" i="3" l="1"/>
  <c r="D694" i="3" s="1"/>
  <c r="B695" i="3"/>
  <c r="C695" i="3" l="1"/>
  <c r="D695" i="3" s="1"/>
  <c r="B696" i="3"/>
  <c r="B697" i="3" l="1"/>
  <c r="C696" i="3"/>
  <c r="D696" i="3" s="1"/>
  <c r="B698" i="3" l="1"/>
  <c r="C697" i="3"/>
  <c r="D697" i="3" s="1"/>
  <c r="C698" i="3" l="1"/>
  <c r="D698" i="3" s="1"/>
  <c r="B699" i="3"/>
  <c r="B700" i="3" l="1"/>
  <c r="C699" i="3"/>
  <c r="D699" i="3" s="1"/>
  <c r="C700" i="3" l="1"/>
  <c r="D700" i="3" s="1"/>
  <c r="B701" i="3"/>
  <c r="B702" i="3" l="1"/>
  <c r="C701" i="3"/>
  <c r="D701" i="3" s="1"/>
  <c r="C702" i="3" l="1"/>
  <c r="D702" i="3" s="1"/>
  <c r="B703" i="3"/>
  <c r="C703" i="3" l="1"/>
  <c r="D703" i="3" s="1"/>
  <c r="B704" i="3"/>
  <c r="C704" i="3" l="1"/>
  <c r="D704" i="3" s="1"/>
  <c r="B705" i="3"/>
  <c r="C705" i="3" l="1"/>
  <c r="D705" i="3" s="1"/>
  <c r="B706" i="3"/>
  <c r="B707" i="3" l="1"/>
  <c r="C706" i="3"/>
  <c r="D706" i="3" s="1"/>
  <c r="C707" i="3" l="1"/>
  <c r="D707" i="3" s="1"/>
  <c r="B708" i="3"/>
  <c r="B709" i="3" l="1"/>
  <c r="C708" i="3"/>
  <c r="D708" i="3" s="1"/>
  <c r="C709" i="3" l="1"/>
  <c r="D709" i="3" s="1"/>
  <c r="B710" i="3"/>
  <c r="C710" i="3" l="1"/>
  <c r="D710" i="3" s="1"/>
  <c r="B711" i="3"/>
  <c r="C711" i="3" l="1"/>
  <c r="D711" i="3" s="1"/>
  <c r="B712" i="3"/>
  <c r="C712" i="3" l="1"/>
  <c r="D712" i="3" s="1"/>
  <c r="B713" i="3"/>
  <c r="B714" i="3" l="1"/>
  <c r="C713" i="3"/>
  <c r="D713" i="3" s="1"/>
  <c r="C714" i="3" l="1"/>
  <c r="D714" i="3" s="1"/>
  <c r="B715" i="3"/>
  <c r="C715" i="3" l="1"/>
  <c r="D715" i="3" s="1"/>
  <c r="B716" i="3"/>
  <c r="B717" i="3" l="1"/>
  <c r="C716" i="3"/>
  <c r="D716" i="3" s="1"/>
  <c r="B718" i="3" l="1"/>
  <c r="C717" i="3"/>
  <c r="D717" i="3" s="1"/>
  <c r="C718" i="3" l="1"/>
  <c r="D718" i="3" s="1"/>
  <c r="B719" i="3"/>
  <c r="C719" i="3" l="1"/>
  <c r="D719" i="3" s="1"/>
  <c r="B720" i="3"/>
  <c r="B721" i="3" l="1"/>
  <c r="C720" i="3"/>
  <c r="D720" i="3" s="1"/>
  <c r="B722" i="3" l="1"/>
  <c r="C721" i="3"/>
  <c r="D721" i="3" s="1"/>
  <c r="C722" i="3" l="1"/>
  <c r="D722" i="3" s="1"/>
  <c r="B723" i="3"/>
  <c r="C723" i="3" l="1"/>
  <c r="D723" i="3" s="1"/>
  <c r="B724" i="3"/>
  <c r="B725" i="3" l="1"/>
  <c r="C724" i="3"/>
  <c r="D724" i="3" s="1"/>
  <c r="C725" i="3" l="1"/>
  <c r="D725" i="3" s="1"/>
  <c r="B726" i="3"/>
  <c r="C726" i="3" l="1"/>
  <c r="D726" i="3" s="1"/>
  <c r="B727" i="3"/>
  <c r="C727" i="3" l="1"/>
  <c r="D727" i="3" s="1"/>
  <c r="B728" i="3"/>
  <c r="C728" i="3" l="1"/>
  <c r="D728" i="3" s="1"/>
  <c r="B729" i="3"/>
  <c r="B730" i="3" l="1"/>
  <c r="C729" i="3"/>
  <c r="D729" i="3" s="1"/>
  <c r="C730" i="3" l="1"/>
  <c r="D730" i="3" s="1"/>
  <c r="B731" i="3"/>
  <c r="C731" i="3" l="1"/>
  <c r="D731" i="3" s="1"/>
  <c r="B732" i="3"/>
  <c r="B733" i="3" l="1"/>
  <c r="C732" i="3"/>
  <c r="D732" i="3" s="1"/>
  <c r="C733" i="3" l="1"/>
  <c r="D733" i="3" s="1"/>
  <c r="B734" i="3"/>
  <c r="C734" i="3" l="1"/>
  <c r="D734" i="3" s="1"/>
  <c r="B735" i="3"/>
  <c r="C735" i="3" l="1"/>
  <c r="D735" i="3" s="1"/>
  <c r="B736" i="3"/>
  <c r="B737" i="3" l="1"/>
  <c r="C736" i="3"/>
  <c r="D736" i="3" s="1"/>
  <c r="B738" i="3" l="1"/>
  <c r="C737" i="3"/>
  <c r="D737" i="3" s="1"/>
  <c r="C738" i="3" l="1"/>
  <c r="D738" i="3" s="1"/>
  <c r="B739" i="3"/>
  <c r="B740" i="3" l="1"/>
  <c r="C739" i="3"/>
  <c r="D739" i="3" s="1"/>
  <c r="B741" i="3" l="1"/>
  <c r="C740" i="3"/>
  <c r="D740" i="3" s="1"/>
  <c r="C741" i="3" l="1"/>
  <c r="D741" i="3" s="1"/>
  <c r="B742" i="3"/>
  <c r="B743" i="3" l="1"/>
  <c r="C742" i="3"/>
  <c r="D742" i="3" s="1"/>
  <c r="C743" i="3" l="1"/>
  <c r="D743" i="3" s="1"/>
  <c r="B744" i="3"/>
  <c r="B745" i="3" l="1"/>
  <c r="C744" i="3"/>
  <c r="D744" i="3" s="1"/>
  <c r="B746" i="3" l="1"/>
  <c r="C745" i="3"/>
  <c r="D745" i="3" s="1"/>
  <c r="C746" i="3" l="1"/>
  <c r="D746" i="3" s="1"/>
  <c r="B747" i="3"/>
  <c r="B748" i="3" l="1"/>
  <c r="C747" i="3"/>
  <c r="D747" i="3" s="1"/>
  <c r="C748" i="3" l="1"/>
  <c r="D748" i="3" s="1"/>
  <c r="B749" i="3"/>
  <c r="C749" i="3" l="1"/>
  <c r="D749" i="3" s="1"/>
  <c r="B750" i="3"/>
  <c r="B751" i="3" l="1"/>
  <c r="C750" i="3"/>
  <c r="D750" i="3" s="1"/>
  <c r="C751" i="3" l="1"/>
  <c r="D751" i="3" s="1"/>
  <c r="B752" i="3"/>
  <c r="B753" i="3" l="1"/>
  <c r="C752" i="3"/>
  <c r="D752" i="3" s="1"/>
  <c r="C753" i="3" l="1"/>
  <c r="D753" i="3" s="1"/>
  <c r="B754" i="3"/>
  <c r="C754" i="3" l="1"/>
  <c r="D754" i="3" s="1"/>
  <c r="B755" i="3"/>
  <c r="B756" i="3" l="1"/>
  <c r="C755" i="3"/>
  <c r="D755" i="3" s="1"/>
  <c r="B757" i="3" l="1"/>
  <c r="C756" i="3"/>
  <c r="D756" i="3" s="1"/>
  <c r="C757" i="3" l="1"/>
  <c r="D757" i="3" s="1"/>
  <c r="B758" i="3"/>
  <c r="C758" i="3" l="1"/>
  <c r="D758" i="3" s="1"/>
  <c r="B759" i="3"/>
  <c r="B760" i="3" l="1"/>
  <c r="C759" i="3"/>
  <c r="D759" i="3" s="1"/>
  <c r="B761" i="3" l="1"/>
  <c r="C760" i="3"/>
  <c r="D760" i="3" s="1"/>
  <c r="B762" i="3" l="1"/>
  <c r="C761" i="3"/>
  <c r="D761" i="3" s="1"/>
  <c r="C762" i="3" l="1"/>
  <c r="D762" i="3" s="1"/>
  <c r="B763" i="3"/>
  <c r="C763" i="3" l="1"/>
  <c r="D763" i="3" s="1"/>
  <c r="B764" i="3"/>
  <c r="B765" i="3" l="1"/>
  <c r="C764" i="3"/>
  <c r="D764" i="3" s="1"/>
  <c r="C765" i="3" l="1"/>
  <c r="D765" i="3" s="1"/>
  <c r="B766" i="3"/>
  <c r="B767" i="3" l="1"/>
  <c r="C766" i="3"/>
  <c r="D766" i="3" s="1"/>
  <c r="C767" i="3" l="1"/>
  <c r="D767" i="3" s="1"/>
  <c r="B768" i="3"/>
  <c r="C768" i="3" l="1"/>
  <c r="D768" i="3" s="1"/>
  <c r="B769" i="3"/>
  <c r="C769" i="3" l="1"/>
  <c r="D769" i="3" s="1"/>
  <c r="B770" i="3"/>
  <c r="C770" i="3" l="1"/>
  <c r="D770" i="3" s="1"/>
  <c r="B771" i="3"/>
  <c r="B772" i="3" l="1"/>
  <c r="C771" i="3"/>
  <c r="D771" i="3" s="1"/>
  <c r="B773" i="3" l="1"/>
  <c r="C772" i="3"/>
  <c r="D772" i="3" s="1"/>
  <c r="C773" i="3" l="1"/>
  <c r="D773" i="3" s="1"/>
  <c r="B774" i="3"/>
  <c r="B775" i="3" l="1"/>
  <c r="C774" i="3"/>
  <c r="D774" i="3" s="1"/>
  <c r="B776" i="3" l="1"/>
  <c r="C775" i="3"/>
  <c r="D775" i="3" s="1"/>
  <c r="C776" i="3" l="1"/>
  <c r="D776" i="3" s="1"/>
  <c r="B777" i="3"/>
  <c r="B778" i="3" l="1"/>
  <c r="C777" i="3"/>
  <c r="D777" i="3" s="1"/>
  <c r="C778" i="3" l="1"/>
  <c r="D778" i="3" s="1"/>
  <c r="B779" i="3"/>
  <c r="B780" i="3" l="1"/>
  <c r="C779" i="3"/>
  <c r="D779" i="3" s="1"/>
  <c r="B781" i="3" l="1"/>
  <c r="C780" i="3"/>
  <c r="D780" i="3" s="1"/>
  <c r="B782" i="3" l="1"/>
  <c r="C781" i="3"/>
  <c r="D781" i="3" s="1"/>
  <c r="C782" i="3" l="1"/>
  <c r="D782" i="3" s="1"/>
  <c r="B783" i="3"/>
  <c r="C783" i="3" l="1"/>
  <c r="D783" i="3" s="1"/>
  <c r="B784" i="3"/>
  <c r="C784" i="3" l="1"/>
  <c r="D784" i="3" s="1"/>
  <c r="B785" i="3"/>
  <c r="C785" i="3" l="1"/>
  <c r="D785" i="3" s="1"/>
  <c r="B786" i="3"/>
  <c r="B787" i="3" l="1"/>
  <c r="C786" i="3"/>
  <c r="D786" i="3" s="1"/>
  <c r="C787" i="3" l="1"/>
  <c r="D787" i="3" s="1"/>
  <c r="B788" i="3"/>
  <c r="B789" i="3" l="1"/>
  <c r="C788" i="3"/>
  <c r="D788" i="3" s="1"/>
  <c r="C789" i="3" l="1"/>
  <c r="D789" i="3" s="1"/>
  <c r="B790" i="3"/>
  <c r="C790" i="3" l="1"/>
  <c r="D790" i="3" s="1"/>
  <c r="B791" i="3"/>
  <c r="C791" i="3" l="1"/>
  <c r="D791" i="3" s="1"/>
  <c r="B792" i="3"/>
  <c r="C792" i="3" l="1"/>
  <c r="D792" i="3" s="1"/>
  <c r="B793" i="3"/>
  <c r="B794" i="3" l="1"/>
  <c r="C793" i="3"/>
  <c r="D793" i="3" s="1"/>
  <c r="C794" i="3" l="1"/>
  <c r="D794" i="3" s="1"/>
  <c r="B795" i="3"/>
  <c r="B796" i="3" l="1"/>
  <c r="C795" i="3"/>
  <c r="D795" i="3" s="1"/>
  <c r="C796" i="3" l="1"/>
  <c r="D796" i="3" s="1"/>
  <c r="B797" i="3"/>
  <c r="C797" i="3" l="1"/>
  <c r="D797" i="3" s="1"/>
  <c r="B798" i="3"/>
  <c r="C798" i="3" l="1"/>
  <c r="D798" i="3" s="1"/>
  <c r="B799" i="3"/>
  <c r="C799" i="3" l="1"/>
  <c r="D799" i="3" s="1"/>
  <c r="B800" i="3"/>
  <c r="B801" i="3" l="1"/>
  <c r="C800" i="3"/>
  <c r="D800" i="3" s="1"/>
  <c r="C801" i="3" l="1"/>
  <c r="D801" i="3" s="1"/>
  <c r="B802" i="3"/>
  <c r="C802" i="3" l="1"/>
  <c r="D802" i="3" s="1"/>
  <c r="B803" i="3"/>
  <c r="C803" i="3" l="1"/>
  <c r="D803" i="3" s="1"/>
  <c r="B804" i="3"/>
  <c r="B805" i="3" l="1"/>
  <c r="C804" i="3"/>
  <c r="D804" i="3" s="1"/>
  <c r="C805" i="3" l="1"/>
  <c r="D805" i="3" s="1"/>
  <c r="B806" i="3"/>
  <c r="C806" i="3" l="1"/>
  <c r="D806" i="3" s="1"/>
  <c r="B807" i="3"/>
  <c r="C807" i="3" l="1"/>
  <c r="D807" i="3" s="1"/>
  <c r="B808" i="3"/>
  <c r="C808" i="3" l="1"/>
  <c r="D808" i="3" s="1"/>
  <c r="B809" i="3"/>
  <c r="B810" i="3" l="1"/>
  <c r="C809" i="3"/>
  <c r="D809" i="3" s="1"/>
  <c r="C810" i="3" l="1"/>
  <c r="D810" i="3" s="1"/>
  <c r="B811" i="3"/>
  <c r="B812" i="3" l="1"/>
  <c r="C811" i="3"/>
  <c r="D811" i="3" s="1"/>
  <c r="C812" i="3" l="1"/>
  <c r="D812" i="3" s="1"/>
  <c r="B813" i="3"/>
  <c r="C813" i="3" l="1"/>
  <c r="D813" i="3" s="1"/>
  <c r="B814" i="3"/>
  <c r="B815" i="3" l="1"/>
  <c r="C814" i="3"/>
  <c r="D814" i="3" s="1"/>
  <c r="B816" i="3" l="1"/>
  <c r="C815" i="3"/>
  <c r="D815" i="3" s="1"/>
  <c r="B817" i="3" l="1"/>
  <c r="C816" i="3"/>
  <c r="D816" i="3" s="1"/>
  <c r="C817" i="3" l="1"/>
  <c r="D817" i="3" s="1"/>
  <c r="B818" i="3"/>
  <c r="B819" i="3" l="1"/>
  <c r="C818" i="3"/>
  <c r="D818" i="3" s="1"/>
  <c r="C819" i="3" l="1"/>
  <c r="D819" i="3" s="1"/>
  <c r="B820" i="3"/>
  <c r="B821" i="3" l="1"/>
  <c r="C820" i="3"/>
  <c r="D820" i="3" s="1"/>
  <c r="C821" i="3" l="1"/>
  <c r="D821" i="3" s="1"/>
  <c r="B822" i="3"/>
  <c r="C822" i="3" l="1"/>
  <c r="D822" i="3" s="1"/>
  <c r="B823" i="3"/>
  <c r="C823" i="3" l="1"/>
  <c r="D823" i="3" s="1"/>
  <c r="B824" i="3"/>
  <c r="C824" i="3" l="1"/>
  <c r="D824" i="3" s="1"/>
  <c r="B825" i="3"/>
  <c r="C825" i="3" l="1"/>
  <c r="D825" i="3" s="1"/>
  <c r="B826" i="3"/>
  <c r="C826" i="3" l="1"/>
  <c r="D826" i="3" s="1"/>
  <c r="B827" i="3"/>
  <c r="C827" i="3" l="1"/>
  <c r="D827" i="3" s="1"/>
  <c r="B828" i="3"/>
  <c r="C828" i="3" l="1"/>
  <c r="D828" i="3" s="1"/>
  <c r="B829" i="3"/>
  <c r="C829" i="3" l="1"/>
  <c r="D829" i="3" s="1"/>
  <c r="B830" i="3"/>
  <c r="C830" i="3" l="1"/>
  <c r="D830" i="3" s="1"/>
  <c r="B831" i="3"/>
  <c r="B832" i="3" l="1"/>
  <c r="C831" i="3"/>
  <c r="D831" i="3" s="1"/>
  <c r="B833" i="3" l="1"/>
  <c r="C832" i="3"/>
  <c r="D832" i="3" s="1"/>
  <c r="C833" i="3" l="1"/>
  <c r="D833" i="3" s="1"/>
  <c r="B834" i="3"/>
  <c r="C834" i="3" l="1"/>
  <c r="D834" i="3" s="1"/>
  <c r="B835" i="3"/>
  <c r="C835" i="3" l="1"/>
  <c r="D835" i="3" s="1"/>
  <c r="B836" i="3"/>
  <c r="B837" i="3" l="1"/>
  <c r="C836" i="3"/>
  <c r="D836" i="3" s="1"/>
  <c r="C837" i="3" l="1"/>
  <c r="D837" i="3" s="1"/>
  <c r="B838" i="3"/>
  <c r="C838" i="3" l="1"/>
  <c r="D838" i="3" s="1"/>
  <c r="B839" i="3"/>
  <c r="C839" i="3" l="1"/>
  <c r="D839" i="3" s="1"/>
  <c r="B840" i="3"/>
  <c r="C840" i="3" l="1"/>
  <c r="D840" i="3" s="1"/>
  <c r="B841" i="3"/>
  <c r="C841" i="3" l="1"/>
  <c r="D841" i="3" s="1"/>
  <c r="B842" i="3"/>
  <c r="C842" i="3" l="1"/>
  <c r="D842" i="3" s="1"/>
  <c r="B843" i="3"/>
  <c r="B844" i="3" l="1"/>
  <c r="C843" i="3"/>
  <c r="D843" i="3" s="1"/>
  <c r="B845" i="3" l="1"/>
  <c r="C844" i="3"/>
  <c r="D844" i="3" s="1"/>
  <c r="C845" i="3" l="1"/>
  <c r="D845" i="3" s="1"/>
  <c r="B846" i="3"/>
  <c r="B847" i="3" l="1"/>
  <c r="C846" i="3"/>
  <c r="D846" i="3" s="1"/>
  <c r="B848" i="3" l="1"/>
  <c r="C847" i="3"/>
  <c r="D847" i="3" s="1"/>
  <c r="C848" i="3" l="1"/>
  <c r="D848" i="3" s="1"/>
  <c r="B849" i="3"/>
  <c r="B850" i="3" l="1"/>
  <c r="C849" i="3"/>
  <c r="D849" i="3" s="1"/>
  <c r="C850" i="3" l="1"/>
  <c r="D850" i="3" s="1"/>
  <c r="B851" i="3"/>
  <c r="C851" i="3" l="1"/>
  <c r="D851" i="3" s="1"/>
  <c r="B852" i="3"/>
  <c r="B853" i="3" l="1"/>
  <c r="C852" i="3"/>
  <c r="D852" i="3" s="1"/>
  <c r="C853" i="3" l="1"/>
  <c r="D853" i="3" s="1"/>
  <c r="B854" i="3"/>
  <c r="C854" i="3" l="1"/>
  <c r="D854" i="3" s="1"/>
  <c r="B855" i="3"/>
  <c r="B856" i="3" l="1"/>
  <c r="C855" i="3"/>
  <c r="D855" i="3" s="1"/>
  <c r="C856" i="3" l="1"/>
  <c r="D856" i="3" s="1"/>
  <c r="B857" i="3"/>
  <c r="C857" i="3" l="1"/>
  <c r="D857" i="3" s="1"/>
  <c r="B858" i="3"/>
  <c r="C858" i="3" l="1"/>
  <c r="D858" i="3" s="1"/>
  <c r="B859" i="3"/>
  <c r="C859" i="3" l="1"/>
  <c r="D859" i="3" s="1"/>
  <c r="B860" i="3"/>
  <c r="B861" i="3" l="1"/>
  <c r="C860" i="3"/>
  <c r="D860" i="3" s="1"/>
  <c r="B862" i="3" l="1"/>
  <c r="C861" i="3"/>
  <c r="D861" i="3" s="1"/>
  <c r="B863" i="3" l="1"/>
  <c r="C862" i="3"/>
  <c r="D862" i="3" s="1"/>
  <c r="B864" i="3" l="1"/>
  <c r="C863" i="3"/>
  <c r="D863" i="3" s="1"/>
  <c r="C864" i="3" l="1"/>
  <c r="D864" i="3" s="1"/>
  <c r="B865" i="3"/>
  <c r="C865" i="3" l="1"/>
  <c r="D865" i="3" s="1"/>
  <c r="B866" i="3"/>
  <c r="B867" i="3" l="1"/>
  <c r="C866" i="3"/>
  <c r="D866" i="3" s="1"/>
  <c r="B868" i="3" l="1"/>
  <c r="C867" i="3"/>
  <c r="D867" i="3" s="1"/>
  <c r="B869" i="3" l="1"/>
  <c r="C868" i="3"/>
  <c r="D868" i="3" s="1"/>
  <c r="C869" i="3" l="1"/>
  <c r="D869" i="3" s="1"/>
  <c r="B870" i="3"/>
  <c r="C870" i="3" l="1"/>
  <c r="D870" i="3" s="1"/>
  <c r="B871" i="3"/>
  <c r="B872" i="3" l="1"/>
  <c r="C871" i="3"/>
  <c r="D871" i="3" s="1"/>
  <c r="C872" i="3" l="1"/>
  <c r="D872" i="3" s="1"/>
  <c r="B873" i="3"/>
  <c r="C873" i="3" l="1"/>
  <c r="D873" i="3" s="1"/>
  <c r="B874" i="3"/>
  <c r="C874" i="3" l="1"/>
  <c r="D874" i="3" s="1"/>
  <c r="B875" i="3"/>
  <c r="C875" i="3" l="1"/>
  <c r="D875" i="3" s="1"/>
  <c r="B876" i="3"/>
  <c r="C876" i="3" l="1"/>
  <c r="D876" i="3" s="1"/>
  <c r="B877" i="3"/>
  <c r="B878" i="3" l="1"/>
  <c r="C877" i="3"/>
  <c r="D877" i="3" s="1"/>
  <c r="C878" i="3" l="1"/>
  <c r="D878" i="3" s="1"/>
  <c r="B879" i="3"/>
  <c r="B880" i="3" l="1"/>
  <c r="C879" i="3"/>
  <c r="D879" i="3" s="1"/>
  <c r="C880" i="3" l="1"/>
  <c r="D880" i="3" s="1"/>
  <c r="B881" i="3"/>
  <c r="C881" i="3" l="1"/>
  <c r="D881" i="3" s="1"/>
  <c r="B882" i="3"/>
  <c r="C882" i="3" l="1"/>
  <c r="D882" i="3" s="1"/>
  <c r="B883" i="3"/>
  <c r="B884" i="3" l="1"/>
  <c r="C883" i="3"/>
  <c r="D883" i="3" s="1"/>
  <c r="B885" i="3" l="1"/>
  <c r="C884" i="3"/>
  <c r="D884" i="3" s="1"/>
  <c r="C885" i="3" l="1"/>
  <c r="D885" i="3" s="1"/>
  <c r="B886" i="3"/>
  <c r="C886" i="3" l="1"/>
  <c r="D886" i="3" s="1"/>
  <c r="B887" i="3"/>
  <c r="C887" i="3" l="1"/>
  <c r="D887" i="3" s="1"/>
  <c r="B888" i="3"/>
  <c r="C888" i="3" l="1"/>
  <c r="D888" i="3" s="1"/>
  <c r="B889" i="3"/>
  <c r="B890" i="3" l="1"/>
  <c r="C889" i="3"/>
  <c r="D889" i="3" s="1"/>
  <c r="C890" i="3" l="1"/>
  <c r="D890" i="3" s="1"/>
  <c r="B891" i="3"/>
  <c r="B892" i="3" l="1"/>
  <c r="C891" i="3"/>
  <c r="D891" i="3" s="1"/>
  <c r="C892" i="3" l="1"/>
  <c r="D892" i="3" s="1"/>
  <c r="B893" i="3"/>
  <c r="C893" i="3" l="1"/>
  <c r="D893" i="3" s="1"/>
  <c r="B894" i="3"/>
  <c r="C894" i="3" l="1"/>
  <c r="D894" i="3" s="1"/>
  <c r="B895" i="3"/>
  <c r="B896" i="3" l="1"/>
  <c r="C895" i="3"/>
  <c r="D895" i="3" s="1"/>
  <c r="C896" i="3" l="1"/>
  <c r="D896" i="3" s="1"/>
  <c r="B897" i="3"/>
  <c r="B898" i="3" l="1"/>
  <c r="C897" i="3"/>
  <c r="D897" i="3" s="1"/>
  <c r="C898" i="3" l="1"/>
  <c r="D898" i="3" s="1"/>
  <c r="B899" i="3"/>
  <c r="C899" i="3" l="1"/>
  <c r="D899" i="3" s="1"/>
  <c r="B900" i="3"/>
  <c r="B901" i="3" l="1"/>
  <c r="C900" i="3"/>
  <c r="D900" i="3" s="1"/>
  <c r="C901" i="3" l="1"/>
  <c r="D901" i="3" s="1"/>
  <c r="B902" i="3"/>
  <c r="C902" i="3" l="1"/>
  <c r="D902" i="3" s="1"/>
  <c r="B903" i="3"/>
  <c r="B904" i="3" l="1"/>
  <c r="C903" i="3"/>
  <c r="D903" i="3" s="1"/>
  <c r="C904" i="3" l="1"/>
  <c r="D904" i="3" s="1"/>
  <c r="B905" i="3"/>
  <c r="C905" i="3" l="1"/>
  <c r="D905" i="3" s="1"/>
  <c r="B906" i="3"/>
  <c r="C906" i="3" l="1"/>
  <c r="D906" i="3" s="1"/>
  <c r="B907" i="3"/>
  <c r="C907" i="3" l="1"/>
  <c r="D907" i="3" s="1"/>
  <c r="B908" i="3"/>
  <c r="C908" i="3" l="1"/>
  <c r="D908" i="3" s="1"/>
  <c r="B909" i="3"/>
  <c r="B910" i="3" l="1"/>
  <c r="C909" i="3"/>
  <c r="D909" i="3" s="1"/>
  <c r="C910" i="3" l="1"/>
  <c r="D910" i="3" s="1"/>
  <c r="B911" i="3"/>
  <c r="B912" i="3" l="1"/>
  <c r="C911" i="3"/>
  <c r="D911" i="3" s="1"/>
  <c r="B913" i="3" l="1"/>
  <c r="C912" i="3"/>
  <c r="D912" i="3" s="1"/>
  <c r="C913" i="3" l="1"/>
  <c r="D913" i="3" s="1"/>
  <c r="B914" i="3"/>
  <c r="C914" i="3" l="1"/>
  <c r="D914" i="3" s="1"/>
  <c r="B915" i="3"/>
  <c r="B916" i="3" l="1"/>
  <c r="C915" i="3"/>
  <c r="D915" i="3" s="1"/>
  <c r="B917" i="3" l="1"/>
  <c r="C916" i="3"/>
  <c r="D916" i="3" s="1"/>
  <c r="C917" i="3" l="1"/>
  <c r="D917" i="3" s="1"/>
  <c r="B918" i="3"/>
  <c r="B919" i="3" l="1"/>
  <c r="C918" i="3"/>
  <c r="D918" i="3" s="1"/>
  <c r="C919" i="3" l="1"/>
  <c r="D919" i="3" s="1"/>
  <c r="B920" i="3"/>
  <c r="C920" i="3" l="1"/>
  <c r="D920" i="3" s="1"/>
  <c r="B921" i="3"/>
  <c r="B922" i="3" l="1"/>
  <c r="C921" i="3"/>
  <c r="D921" i="3" s="1"/>
  <c r="C922" i="3" l="1"/>
  <c r="D922" i="3" s="1"/>
  <c r="B923" i="3"/>
  <c r="C923" i="3" l="1"/>
  <c r="D923" i="3" s="1"/>
  <c r="B924" i="3"/>
  <c r="B925" i="3" l="1"/>
  <c r="C924" i="3"/>
  <c r="D924" i="3" s="1"/>
  <c r="C925" i="3" l="1"/>
  <c r="D925" i="3" s="1"/>
  <c r="B926" i="3"/>
  <c r="B927" i="3" l="1"/>
  <c r="C926" i="3"/>
  <c r="D926" i="3" s="1"/>
  <c r="B928" i="3" l="1"/>
  <c r="C927" i="3"/>
  <c r="D927" i="3" s="1"/>
  <c r="B929" i="3" l="1"/>
  <c r="C928" i="3"/>
  <c r="D928" i="3" s="1"/>
  <c r="C929" i="3" l="1"/>
  <c r="D929" i="3" s="1"/>
  <c r="B930" i="3"/>
  <c r="B931" i="3" l="1"/>
  <c r="C930" i="3"/>
  <c r="D930" i="3" s="1"/>
  <c r="C931" i="3" l="1"/>
  <c r="D931" i="3" s="1"/>
  <c r="B932" i="3"/>
  <c r="B933" i="3" l="1"/>
  <c r="C932" i="3"/>
  <c r="D932" i="3" s="1"/>
  <c r="C933" i="3" l="1"/>
  <c r="D933" i="3" s="1"/>
  <c r="B934" i="3"/>
  <c r="B935" i="3" l="1"/>
  <c r="C934" i="3"/>
  <c r="D934" i="3" s="1"/>
  <c r="C935" i="3" l="1"/>
  <c r="D935" i="3" s="1"/>
  <c r="B936" i="3"/>
  <c r="B937" i="3" l="1"/>
  <c r="C936" i="3"/>
  <c r="D936" i="3" s="1"/>
  <c r="C937" i="3" l="1"/>
  <c r="D937" i="3" s="1"/>
  <c r="B938" i="3"/>
  <c r="C938" i="3" l="1"/>
  <c r="D938" i="3" s="1"/>
  <c r="B939" i="3"/>
  <c r="B940" i="3" l="1"/>
  <c r="C939" i="3"/>
  <c r="D939" i="3" s="1"/>
  <c r="B941" i="3" l="1"/>
  <c r="C940" i="3"/>
  <c r="D940" i="3" s="1"/>
  <c r="C941" i="3" l="1"/>
  <c r="D941" i="3" s="1"/>
  <c r="B942" i="3"/>
  <c r="C942" i="3" l="1"/>
  <c r="D942" i="3" s="1"/>
  <c r="B943" i="3"/>
  <c r="B944" i="3" l="1"/>
  <c r="C943" i="3"/>
  <c r="D943" i="3" s="1"/>
  <c r="B945" i="3" l="1"/>
  <c r="C944" i="3"/>
  <c r="D944" i="3" s="1"/>
  <c r="C945" i="3" l="1"/>
  <c r="D945" i="3" s="1"/>
  <c r="B946" i="3"/>
  <c r="B947" i="3" l="1"/>
  <c r="C946" i="3"/>
  <c r="D946" i="3" s="1"/>
  <c r="C947" i="3" l="1"/>
  <c r="D947" i="3" s="1"/>
  <c r="B948" i="3"/>
  <c r="B949" i="3" l="1"/>
  <c r="C948" i="3"/>
  <c r="D948" i="3" s="1"/>
  <c r="C949" i="3" l="1"/>
  <c r="D949" i="3" s="1"/>
  <c r="B950" i="3"/>
  <c r="C950" i="3" l="1"/>
  <c r="D950" i="3" s="1"/>
  <c r="B951" i="3"/>
  <c r="C951" i="3" l="1"/>
  <c r="D951" i="3" s="1"/>
  <c r="B952" i="3"/>
  <c r="B953" i="3" l="1"/>
  <c r="C952" i="3"/>
  <c r="D952" i="3" s="1"/>
  <c r="C953" i="3" l="1"/>
  <c r="D953" i="3" s="1"/>
  <c r="B954" i="3"/>
  <c r="C954" i="3" l="1"/>
  <c r="D954" i="3" s="1"/>
  <c r="B955" i="3"/>
  <c r="C955" i="3" l="1"/>
  <c r="D955" i="3" s="1"/>
  <c r="B956" i="3"/>
  <c r="B957" i="3" l="1"/>
  <c r="C956" i="3"/>
  <c r="D956" i="3" s="1"/>
  <c r="C957" i="3" l="1"/>
  <c r="D957" i="3" s="1"/>
  <c r="B958" i="3"/>
  <c r="B959" i="3" l="1"/>
  <c r="C958" i="3"/>
  <c r="D958" i="3" s="1"/>
  <c r="B960" i="3" l="1"/>
  <c r="C959" i="3"/>
  <c r="D959" i="3" s="1"/>
  <c r="C960" i="3" l="1"/>
  <c r="D960" i="3" s="1"/>
  <c r="B961" i="3"/>
  <c r="C961" i="3" l="1"/>
  <c r="D961" i="3" s="1"/>
  <c r="B962" i="3"/>
  <c r="B963" i="3" l="1"/>
  <c r="C962" i="3"/>
  <c r="D962" i="3" s="1"/>
  <c r="B964" i="3" l="1"/>
  <c r="C963" i="3"/>
  <c r="D963" i="3" s="1"/>
  <c r="B965" i="3" l="1"/>
  <c r="C964" i="3"/>
  <c r="D964" i="3" s="1"/>
  <c r="C965" i="3" l="1"/>
  <c r="D965" i="3" s="1"/>
  <c r="B966" i="3"/>
  <c r="C966" i="3" l="1"/>
  <c r="D966" i="3" s="1"/>
  <c r="B967" i="3"/>
  <c r="C967" i="3" l="1"/>
  <c r="D967" i="3" s="1"/>
  <c r="B968" i="3"/>
  <c r="B969" i="3" l="1"/>
  <c r="C968" i="3"/>
  <c r="D968" i="3" s="1"/>
  <c r="C969" i="3" l="1"/>
  <c r="D969" i="3" s="1"/>
  <c r="B970" i="3"/>
  <c r="C970" i="3" l="1"/>
  <c r="D970" i="3" s="1"/>
  <c r="B971" i="3"/>
  <c r="C971" i="3" l="1"/>
  <c r="D971" i="3" s="1"/>
  <c r="B972" i="3"/>
  <c r="C972" i="3" l="1"/>
  <c r="D972" i="3" s="1"/>
  <c r="B973" i="3"/>
  <c r="C973" i="3" l="1"/>
  <c r="D973" i="3" s="1"/>
  <c r="B974" i="3"/>
  <c r="C974" i="3" l="1"/>
  <c r="D974" i="3" s="1"/>
  <c r="B975" i="3"/>
  <c r="B976" i="3" l="1"/>
  <c r="C975" i="3"/>
  <c r="D975" i="3" s="1"/>
  <c r="B977" i="3" l="1"/>
  <c r="C976" i="3"/>
  <c r="D976" i="3" s="1"/>
  <c r="C977" i="3" l="1"/>
  <c r="D977" i="3" s="1"/>
  <c r="B978" i="3"/>
  <c r="C978" i="3" l="1"/>
  <c r="D978" i="3" s="1"/>
  <c r="B979" i="3"/>
  <c r="C979" i="3" l="1"/>
  <c r="D979" i="3" s="1"/>
  <c r="B980" i="3"/>
  <c r="B981" i="3" l="1"/>
  <c r="C980" i="3"/>
  <c r="D980" i="3" s="1"/>
  <c r="C981" i="3" l="1"/>
  <c r="D981" i="3" s="1"/>
  <c r="B982" i="3"/>
  <c r="C982" i="3" l="1"/>
  <c r="D982" i="3" s="1"/>
  <c r="B983" i="3"/>
  <c r="C983" i="3" l="1"/>
  <c r="D983" i="3" s="1"/>
  <c r="B984" i="3"/>
  <c r="C984" i="3" l="1"/>
  <c r="D984" i="3" s="1"/>
  <c r="B985" i="3"/>
  <c r="C985" i="3" l="1"/>
  <c r="D985" i="3" s="1"/>
  <c r="B986" i="3"/>
  <c r="C986" i="3" l="1"/>
  <c r="D986" i="3" s="1"/>
  <c r="B987" i="3"/>
  <c r="B988" i="3" l="1"/>
  <c r="C987" i="3"/>
  <c r="D987" i="3" s="1"/>
  <c r="C988" i="3" l="1"/>
  <c r="D988" i="3" s="1"/>
  <c r="B989" i="3"/>
  <c r="C989" i="3" l="1"/>
  <c r="D989" i="3" s="1"/>
  <c r="B990" i="3"/>
  <c r="C990" i="3" l="1"/>
  <c r="D990" i="3" s="1"/>
  <c r="B991" i="3"/>
  <c r="B992" i="3" l="1"/>
  <c r="C991" i="3"/>
  <c r="D991" i="3" s="1"/>
  <c r="C992" i="3" l="1"/>
  <c r="D992" i="3" s="1"/>
  <c r="B993" i="3"/>
  <c r="B994" i="3" l="1"/>
  <c r="C993" i="3"/>
  <c r="D993" i="3" s="1"/>
  <c r="C994" i="3" l="1"/>
  <c r="D994" i="3" s="1"/>
  <c r="B995" i="3"/>
  <c r="C995" i="3" l="1"/>
  <c r="D995" i="3" s="1"/>
  <c r="B996" i="3"/>
  <c r="B997" i="3" l="1"/>
  <c r="C996" i="3"/>
  <c r="D996" i="3" s="1"/>
  <c r="C997" i="3" l="1"/>
  <c r="D997" i="3" s="1"/>
  <c r="B998" i="3"/>
  <c r="C998" i="3" l="1"/>
  <c r="D998" i="3" s="1"/>
  <c r="B999" i="3"/>
  <c r="B1000" i="3" l="1"/>
  <c r="C999" i="3"/>
  <c r="D999" i="3" s="1"/>
  <c r="C1000" i="3" l="1"/>
  <c r="D1000" i="3" s="1"/>
  <c r="A103" i="3" l="1"/>
  <c r="A152" i="3"/>
  <c r="A142" i="3"/>
  <c r="A155" i="3"/>
  <c r="A31" i="3"/>
  <c r="A21" i="3"/>
  <c r="A46" i="3"/>
  <c r="A138" i="3"/>
  <c r="A177" i="3"/>
  <c r="A206" i="3"/>
  <c r="A8" i="3"/>
  <c r="A23" i="3"/>
  <c r="A85" i="3"/>
  <c r="A179" i="3"/>
  <c r="A140" i="3"/>
  <c r="A25" i="3"/>
  <c r="A150" i="3"/>
  <c r="A98" i="3"/>
  <c r="A105" i="3"/>
  <c r="A24" i="3"/>
  <c r="A83" i="3"/>
  <c r="A97" i="3"/>
  <c r="A16" i="3"/>
  <c r="A41" i="3"/>
  <c r="A124" i="3"/>
  <c r="A64" i="3"/>
  <c r="A101" i="3"/>
  <c r="A90" i="3"/>
  <c r="A126" i="3"/>
  <c r="A17" i="3"/>
  <c r="A186" i="3"/>
  <c r="A203" i="3"/>
  <c r="A33" i="3"/>
  <c r="A86" i="3"/>
  <c r="A57" i="3"/>
  <c r="A75" i="3"/>
  <c r="A145" i="3"/>
  <c r="A181" i="3"/>
  <c r="A50" i="3"/>
  <c r="A117" i="3"/>
  <c r="A137" i="3"/>
  <c r="A189" i="3"/>
  <c r="A29" i="3"/>
  <c r="A165" i="3"/>
  <c r="A52" i="3"/>
  <c r="A99" i="3"/>
  <c r="A26" i="3"/>
  <c r="A69" i="3"/>
  <c r="A197" i="3"/>
  <c r="A173" i="3"/>
  <c r="A3" i="3"/>
  <c r="A201" i="3"/>
  <c r="A38" i="3"/>
  <c r="A108" i="3"/>
  <c r="A168" i="3"/>
  <c r="A30" i="3"/>
  <c r="A166" i="3"/>
  <c r="A123" i="3"/>
  <c r="A187" i="3"/>
  <c r="A120" i="3"/>
  <c r="A27" i="3"/>
  <c r="A139" i="3"/>
  <c r="A188" i="3"/>
  <c r="A121" i="3"/>
  <c r="A119" i="3"/>
  <c r="A113" i="3"/>
  <c r="A111" i="3"/>
  <c r="A39" i="3"/>
  <c r="A170" i="3"/>
  <c r="A58" i="3"/>
  <c r="A196" i="3"/>
  <c r="A192" i="3"/>
  <c r="A106" i="3"/>
  <c r="A202" i="3"/>
  <c r="A194" i="3"/>
  <c r="A22" i="3"/>
  <c r="A154" i="3"/>
  <c r="A4" i="3"/>
  <c r="A131" i="3"/>
  <c r="A114" i="3"/>
  <c r="A162" i="3"/>
  <c r="A193" i="3"/>
  <c r="A116" i="3"/>
  <c r="A35" i="3"/>
  <c r="A65" i="3"/>
  <c r="A141" i="3"/>
  <c r="A54" i="3"/>
  <c r="A185" i="3"/>
  <c r="A34" i="3"/>
  <c r="A6" i="3"/>
  <c r="A51" i="3"/>
  <c r="A159" i="3"/>
  <c r="A84" i="3"/>
  <c r="A81" i="3"/>
  <c r="A178" i="3"/>
  <c r="A160" i="3"/>
  <c r="A100" i="3"/>
  <c r="A122" i="3"/>
  <c r="A56" i="3"/>
  <c r="A132" i="3"/>
  <c r="A59" i="3"/>
  <c r="A146" i="3"/>
  <c r="A148" i="3"/>
  <c r="A5" i="3"/>
  <c r="A7" i="3"/>
  <c r="A172" i="3"/>
  <c r="A158" i="3"/>
  <c r="A89" i="3"/>
  <c r="A14" i="3"/>
  <c r="A199" i="3"/>
  <c r="A93" i="3"/>
  <c r="A91" i="3"/>
  <c r="A2" i="3"/>
  <c r="A32" i="3"/>
  <c r="A43" i="3"/>
  <c r="A45" i="3"/>
  <c r="A12" i="3"/>
  <c r="A49" i="3"/>
  <c r="A47" i="3"/>
  <c r="A167" i="3"/>
  <c r="A147" i="3"/>
  <c r="A60" i="3"/>
  <c r="A48" i="3"/>
  <c r="A195" i="3"/>
  <c r="A20" i="3"/>
  <c r="A149" i="3"/>
  <c r="A134" i="3"/>
  <c r="A109" i="3"/>
  <c r="A40" i="3"/>
  <c r="A107" i="3"/>
  <c r="A96" i="3"/>
  <c r="A144" i="3"/>
  <c r="A28" i="3"/>
  <c r="A205" i="3"/>
  <c r="A72" i="3"/>
  <c r="A37" i="3"/>
  <c r="A190" i="3"/>
  <c r="A175" i="3"/>
  <c r="A13" i="3"/>
  <c r="A198" i="3"/>
  <c r="A11" i="3"/>
  <c r="A63" i="3"/>
  <c r="A130" i="3"/>
  <c r="A135" i="3"/>
  <c r="A169" i="3"/>
  <c r="A44" i="3"/>
  <c r="A10" i="3"/>
  <c r="A200" i="3"/>
  <c r="A180" i="3"/>
  <c r="A118" i="3"/>
  <c r="A112" i="3"/>
  <c r="A74" i="3"/>
  <c r="A15" i="3"/>
  <c r="A156" i="3"/>
  <c r="A163" i="3"/>
  <c r="A102" i="3"/>
  <c r="A62" i="3"/>
  <c r="A76" i="3"/>
  <c r="A82" i="3"/>
  <c r="A184" i="3"/>
  <c r="A183" i="3"/>
  <c r="A115" i="3"/>
  <c r="A55" i="3"/>
  <c r="A128" i="3"/>
  <c r="A53" i="3"/>
  <c r="A87" i="3"/>
  <c r="A104" i="3"/>
  <c r="A153" i="3"/>
  <c r="A143" i="3"/>
  <c r="A68" i="3"/>
  <c r="A78" i="3"/>
  <c r="A151" i="3"/>
  <c r="A77" i="3"/>
  <c r="A73" i="3"/>
  <c r="A176" i="3"/>
  <c r="A36" i="3"/>
  <c r="A110" i="3"/>
  <c r="A191" i="3"/>
  <c r="A161" i="3"/>
  <c r="A79" i="3"/>
  <c r="A42" i="3"/>
  <c r="A129" i="3"/>
  <c r="A18" i="3"/>
  <c r="A70" i="3"/>
  <c r="A92" i="3"/>
  <c r="A94" i="3"/>
  <c r="A182" i="3"/>
  <c r="A157" i="3"/>
  <c r="A80" i="3"/>
  <c r="A66" i="3"/>
  <c r="A125" i="3"/>
  <c r="A133" i="3"/>
  <c r="A174" i="3"/>
  <c r="A95" i="3"/>
  <c r="A136" i="3"/>
  <c r="A204" i="3"/>
  <c r="A67" i="3"/>
  <c r="A71" i="3"/>
  <c r="A88" i="3"/>
  <c r="A127" i="3"/>
  <c r="A9" i="3"/>
  <c r="A61" i="3"/>
  <c r="A164" i="3"/>
  <c r="A19" i="3"/>
  <c r="A171" i="3"/>
  <c r="G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E290EF-192A-4782-890E-3AEB2A9D6487}" keepAlive="1" name="쿼리 - _posts" description="통합 문서의 '_posts' 쿼리에 대한 연결입니다." type="5" refreshedVersion="8" background="1" saveData="1">
    <dbPr connection="Provider=Microsoft.Mashup.OleDb.1;Data Source=$Workbook$;Location=_posts;Extended Properties=&quot;&quot;" command="SELECT * FROM [_pos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<sst xmlns="http://schemas.openxmlformats.org/spreadsheetml/2006/main" count="505" uniqueCount="480">
  <si>
    <t>원본</t>
  </si>
  <si>
    <t>한글</t>
  </si>
  <si>
    <t>영어</t>
  </si>
  <si>
    <t>#0-1 너비 우선 탐색 0_1_bfs</t>
  </si>
  <si>
    <t>#2-sat 2_sat</t>
  </si>
  <si>
    <t>#a* a_star</t>
  </si>
  <si>
    <t>#애드 혹 ad_hoc</t>
  </si>
  <si>
    <t>#아호-코라식 aho_corasick</t>
  </si>
  <si>
    <t>#Aliens 트릭 alien</t>
  </si>
  <si>
    <t>#임의 정밀도 / 큰 수 연산 arbitrary_precision</t>
  </si>
  <si>
    <t>#사칙연산 arithmetic</t>
  </si>
  <si>
    <t>#단절점과 단절선 articulation</t>
  </si>
  <si>
    <t>#백트래킹 backtracking</t>
  </si>
  <si>
    <t>#베이즈 정리 bayes</t>
  </si>
  <si>
    <t>#벨만–포드 bellman_ford</t>
  </si>
  <si>
    <t>#벌리캠프–매시 berlekamp_massey</t>
  </si>
  <si>
    <t>#너비 우선 탐색 bfs</t>
  </si>
  <si>
    <t>#이중 연결 요소 biconnected_component</t>
  </si>
  <si>
    <t>#양방향 탐색 bidirectional_search</t>
  </si>
  <si>
    <t>#이분 탐색 binary_search</t>
  </si>
  <si>
    <t>#이분 그래프 bipartite_graph</t>
  </si>
  <si>
    <t>#이분 매칭 bipartite_matching</t>
  </si>
  <si>
    <t>#생일 문제 birthday</t>
  </si>
  <si>
    <t>#비트마스킹 bitmask</t>
  </si>
  <si>
    <t>#비트 집합 bitset</t>
  </si>
  <si>
    <t>#브루트포스 알고리즘 bruteforcing</t>
  </si>
  <si>
    <t>#번사이드 보조정리 burnside</t>
  </si>
  <si>
    <t>#선인장 cactus</t>
  </si>
  <si>
    <t>#미적분학 calculus</t>
  </si>
  <si>
    <t>#데카르트 트리 cartesian_tree</t>
  </si>
  <si>
    <t>#많은 조건 분기 case_work</t>
  </si>
  <si>
    <t>#센트로이드 centroid</t>
  </si>
  <si>
    <t>#센트로이드 분할 centroid_decomposition</t>
  </si>
  <si>
    <t>#현 그래프 chordal_graph</t>
  </si>
  <si>
    <t>#볼록 껍질을 이용한 최적화 cht</t>
  </si>
  <si>
    <t>#서큘레이션 circulation</t>
  </si>
  <si>
    <t>#조합론 combinatorics</t>
  </si>
  <si>
    <t>#해 구성하기 constructive</t>
  </si>
  <si>
    <t>#볼록 껍질 convex_hull</t>
  </si>
  <si>
    <t>#값 / 좌표 압축 coordinate_compression</t>
  </si>
  <si>
    <t>#중국인의 나머지 정리 crt</t>
  </si>
  <si>
    <t>#방향 비순환 그래프 dag</t>
  </si>
  <si>
    <t>#춤추는 링크 dancing_links</t>
  </si>
  <si>
    <t>#자료 구조 data_structures</t>
  </si>
  <si>
    <t>#차수열 degree_sequence</t>
  </si>
  <si>
    <t>#델로네 삼각분할 delaunay</t>
  </si>
  <si>
    <t>#덱 deque</t>
  </si>
  <si>
    <t>#덱을 이용한 구간 최댓값 트릭 deque_trick</t>
  </si>
  <si>
    <t>#깊이 우선 탐색 dfs</t>
  </si>
  <si>
    <t>#차분 공격 differential_cryptanalysis</t>
  </si>
  <si>
    <t>#데이크스트라 dijkstra</t>
  </si>
  <si>
    <t>#유향 최소 신장 트리 directed_mst</t>
  </si>
  <si>
    <t>#이산 k제곱근 discrete_kth_root</t>
  </si>
  <si>
    <t>#이산 로그 discrete_log</t>
  </si>
  <si>
    <t>#이산 제곱근 discrete_sqrt</t>
  </si>
  <si>
    <t>#분리 집합 disjoint_set</t>
  </si>
  <si>
    <t>#분할 정복 divide_and_conquer</t>
  </si>
  <si>
    <t>#분할 정복을 사용한 최적화 divide_and_conquer_optimization</t>
  </si>
  <si>
    <t>#도미네이터 트리 dominator_tree</t>
  </si>
  <si>
    <t>#다이나믹 프로그래밍 dp</t>
  </si>
  <si>
    <t>#비트필드를 이용한 다이나믹 프로그래밍 dp_bitfield</t>
  </si>
  <si>
    <t>#커넥션 프로파일을 이용한 다이나믹 프로그래밍 dp_connection_profile</t>
  </si>
  <si>
    <t>#덱을 이용한 다이나믹 프로그래밍 dp_deque</t>
  </si>
  <si>
    <t>#자릿수를 이용한 다이나믹 프로그래밍 dp_digit</t>
  </si>
  <si>
    <t>#부분집합의 합 다이나믹 프로그래밍 dp_sum_over_subsets</t>
  </si>
  <si>
    <t>#트리에서의 다이나믹 프로그래밍 dp_tree</t>
  </si>
  <si>
    <t>#쌍대 그래프 dual_graph</t>
  </si>
  <si>
    <t>#쌍대성 duality</t>
  </si>
  <si>
    <t>#유클리드 호제법 euclidean</t>
  </si>
  <si>
    <t>#오일러 지표 (χ=V-E+F) euler_characteristic</t>
  </si>
  <si>
    <t>#오일러 피 함수 euler_phi</t>
  </si>
  <si>
    <t>#오일러 경로 테크닉 euler_tour_technique</t>
  </si>
  <si>
    <t>#오일러 경로 eulerian_path</t>
  </si>
  <si>
    <t>#분할 정복을 이용한 거듭제곱 exponentiation_by_squaring</t>
  </si>
  <si>
    <t>#확장 유클리드 호제법 extended_euclidean</t>
  </si>
  <si>
    <t>#고속 푸리에 변환 fft</t>
  </si>
  <si>
    <t>#플러드 필 flood_fill</t>
  </si>
  <si>
    <t>#최대 유량 flow</t>
  </si>
  <si>
    <t>#플로이드–워셜 floyd_warshall</t>
  </si>
  <si>
    <t>#페르마의 소정리 flt</t>
  </si>
  <si>
    <t>#함수형 그래프 functional_graph</t>
  </si>
  <si>
    <t>#게임 이론 game_theory</t>
  </si>
  <si>
    <t>#가우스 소거법 gaussian_elimination</t>
  </si>
  <si>
    <t>#일반적인 매칭 general_matching</t>
  </si>
  <si>
    <t>#생성 함수 generating_function</t>
  </si>
  <si>
    <t>#도형에서의 불 연산 geometric_boolean_operations</t>
  </si>
  <si>
    <t>#기하학 geometry</t>
  </si>
  <si>
    <t>#3차원 기하학 geometry_3d</t>
  </si>
  <si>
    <t>#4차원 이상의 기하학 geometry_hyper</t>
  </si>
  <si>
    <t>#경사 하강법 gradient_descent</t>
  </si>
  <si>
    <t>#그래프 탐색 graph_traversal</t>
  </si>
  <si>
    <t>#그래프 이론 graphs</t>
  </si>
  <si>
    <t>#그리디 알고리즘 greedy</t>
  </si>
  <si>
    <t>#그린 정리 green</t>
  </si>
  <si>
    <t>#하켄부시 게임 hackenbush</t>
  </si>
  <si>
    <t>#반평면 교집합 half_plane_intersection</t>
  </si>
  <si>
    <t>#홀의 결혼 정리 hall</t>
  </si>
  <si>
    <t>#해시를 사용한 집합과 맵 hash_set</t>
  </si>
  <si>
    <t>#해싱 hashing</t>
  </si>
  <si>
    <t>#휴리스틱 heuristics</t>
  </si>
  <si>
    <t>#히르쉬버그 hirschberg</t>
  </si>
  <si>
    <t>#Heavy-light 분할 hld</t>
  </si>
  <si>
    <t>#헝가리안 hungarian</t>
  </si>
  <si>
    <t>#구현 implementation</t>
  </si>
  <si>
    <t>#포함 배제의 원리 inclusion_and_exclusion</t>
  </si>
  <si>
    <t>#키타마사 kitamasa</t>
  </si>
  <si>
    <t>#KMP kmp</t>
  </si>
  <si>
    <t>#배낭 문제 knapsack</t>
  </si>
  <si>
    <t>#크누스 최적화 knuth</t>
  </si>
  <si>
    <t>#크누스 X knuth_x</t>
  </si>
  <si>
    <t>#느리게 갱신되는 세그먼트 트리 lazyprop</t>
  </si>
  <si>
    <t>#최소 공통 조상 lca</t>
  </si>
  <si>
    <t>#린드스트롬–게셀–비엔노 보조정리 lgv</t>
  </si>
  <si>
    <t>#선분 교차 판정 line_intersection</t>
  </si>
  <si>
    <t>#선형대수학 linear_algebra</t>
  </si>
  <si>
    <t>#선형 계획법 linear_programming</t>
  </si>
  <si>
    <t>#기댓값의 선형성 linearity_of_expectation</t>
  </si>
  <si>
    <t>#링크/컷 트리 link_cut_tree</t>
  </si>
  <si>
    <t>#연결 리스트 linked_list</t>
  </si>
  <si>
    <t>#가장 긴 증가하는 부분 수열: O(n log n) lis</t>
  </si>
  <si>
    <t>#지수승강 보조정리 lte</t>
  </si>
  <si>
    <t>#뤼카 정리 lucas</t>
  </si>
  <si>
    <t>#보이어–무어 다수결 투표 majority_vote</t>
  </si>
  <si>
    <t>#매내처 manacher</t>
  </si>
  <si>
    <t>#수학 math</t>
  </si>
  <si>
    <t>#매트로이드 matroid</t>
  </si>
  <si>
    <t>#최소 비용 최대 유량 mcmf</t>
  </si>
  <si>
    <t>#머지 소트 트리 merge_sort_tree</t>
  </si>
  <si>
    <t>#최대 유량 최소 컷 정리 mfmc</t>
  </si>
  <si>
    <t>#밀러–라빈 소수 판별법 miller_rabin</t>
  </si>
  <si>
    <t>#최소 외접원 min_enclosing_circle</t>
  </si>
  <si>
    <t>#중간에서 만나기 mitm</t>
  </si>
  <si>
    <t>#mo's mo</t>
  </si>
  <si>
    <t>#뫼비우스 반전 공식 mobius_inversion</t>
  </si>
  <si>
    <t>#모듈로 곱셈 역원 modular_multiplicative_inverse</t>
  </si>
  <si>
    <t>#단조 큐를 이용한 최적화 monotone_queue_optimization</t>
  </si>
  <si>
    <t>#최소 스패닝 트리 mst</t>
  </si>
  <si>
    <t>#다차원 세그먼트 트리 multi_segtree</t>
  </si>
  <si>
    <t>#다중 대입값 계산 multipoint_evaluation</t>
  </si>
  <si>
    <t>#정수론 number_theory</t>
  </si>
  <si>
    <t>#수치해석 numerical_analysis</t>
  </si>
  <si>
    <t>#오프라인 동적 연결성 판정 offline_dynamic_connectivity</t>
  </si>
  <si>
    <t>#오프라인 쿼리 offline_queries</t>
  </si>
  <si>
    <t>#회문 트리 palindrome_tree</t>
  </si>
  <si>
    <t>#매개 변수 탐색 parametric_search</t>
  </si>
  <si>
    <t>#파싱 parsing</t>
  </si>
  <si>
    <t>#병렬 이분 탐색 pbs</t>
  </si>
  <si>
    <t>#순열 사이클 분할 permutation_cycle_decomposition</t>
  </si>
  <si>
    <t>#물리학 physics</t>
  </si>
  <si>
    <t>#픽의 정리 pick</t>
  </si>
  <si>
    <t>#비둘기집 원리 pigeonhole_principle</t>
  </si>
  <si>
    <t>#평면 그래프 planar_graph</t>
  </si>
  <si>
    <t>#볼록 다각형 내부의 점 판정 point_in_convex_polygon</t>
  </si>
  <si>
    <t>#오목 다각형 내부의 점 판정 point_in_non_convex_polygon</t>
  </si>
  <si>
    <t>#폴라드 로 pollard_rho</t>
  </si>
  <si>
    <t>#다각형의 넓이 polygon_area</t>
  </si>
  <si>
    <t>#다항식 보간법 polynomial_interpolation</t>
  </si>
  <si>
    <t>#런타임 전의 전처리 precomputation</t>
  </si>
  <si>
    <t>#누적 합 prefix_sum</t>
  </si>
  <si>
    <t>#소수 판정 primality_test</t>
  </si>
  <si>
    <t>#우선순위 큐 priority_queue</t>
  </si>
  <si>
    <t>#확률론 probability</t>
  </si>
  <si>
    <t>#퍼시스턴트 세그먼트 트리 pst</t>
  </si>
  <si>
    <t>#피타고라스 정리 pythagoras</t>
  </si>
  <si>
    <t>#큐 queue</t>
  </si>
  <si>
    <t>#라빈–카프 rabin_karp</t>
  </si>
  <si>
    <t>#무작위화 randomization</t>
  </si>
  <si>
    <t>#레드-블랙 트리 rb_tree</t>
  </si>
  <si>
    <t>#재귀 recursion</t>
  </si>
  <si>
    <t>#정규 표현식 regex</t>
  </si>
  <si>
    <t>#로프 rope</t>
  </si>
  <si>
    <t>#회전하는 캘리퍼스 rotating_calipers</t>
  </si>
  <si>
    <t>#강한 연결 요소 scc</t>
  </si>
  <si>
    <t>#세그먼트 트리 segtree</t>
  </si>
  <si>
    <t>#최단 경로 shortest_path</t>
  </si>
  <si>
    <t>#에라토스테네스의 체 sieve</t>
  </si>
  <si>
    <t>#담금질 기법 simulated_annealing</t>
  </si>
  <si>
    <t>#시뮬레이션 simulation</t>
  </si>
  <si>
    <t>#슬라이딩 윈도우 sliding_window</t>
  </si>
  <si>
    <t>#함수 개형을 이용한 최적화 slope_trick</t>
  </si>
  <si>
    <t>#작은 집합에서 큰 집합으로 합치는 테크닉 smaller_to_larger</t>
  </si>
  <si>
    <t>#정렬 sorting</t>
  </si>
  <si>
    <t>#희소 배열 sparse_table</t>
  </si>
  <si>
    <t>#스플레이 트리 splay_tree</t>
  </si>
  <si>
    <t>#스프라그–그런디 정리 sprague_grundy</t>
  </si>
  <si>
    <t>#제곱근 분할법 sqrt_decomposition</t>
  </si>
  <si>
    <t>#안정 결혼 문제 stable_marriage</t>
  </si>
  <si>
    <t>#스택 stack</t>
  </si>
  <si>
    <t>#통계학 statistics</t>
  </si>
  <si>
    <t>#스토어–바그너 stoer_wagner</t>
  </si>
  <si>
    <t>#문자열 string</t>
  </si>
  <si>
    <t>#접미사 배열과 LCP 배열 suffix_array</t>
  </si>
  <si>
    <t>#접미사 트리 suffix_tree</t>
  </si>
  <si>
    <t>#스위핑 sweeping</t>
  </si>
  <si>
    <t>#삼분 탐색 ternary_search</t>
  </si>
  <si>
    <t>#탑 트리 top_tree</t>
  </si>
  <si>
    <t>#위상 정렬 topological_sorting</t>
  </si>
  <si>
    <t>#트리 압축 tree_compression</t>
  </si>
  <si>
    <t>#트리 분할 tree_decomposition</t>
  </si>
  <si>
    <t>#트리 동형 사상 tree_isomorphism</t>
  </si>
  <si>
    <t>#트리를 사용한 집합과 맵 tree_set</t>
  </si>
  <si>
    <t>#트리 trees</t>
  </si>
  <si>
    <t>#트라이 trie</t>
  </si>
  <si>
    <t>#외판원 순회 문제 tsp</t>
  </si>
  <si>
    <t>#두 포인터 two_pointer</t>
  </si>
  <si>
    <t>#utf-8 입력 처리 utf8</t>
  </si>
  <si>
    <t>#보로노이 다이어그램 voronoi</t>
  </si>
  <si>
    <t>#z z</t>
  </si>
  <si>
    <t>mermaid code</t>
  </si>
  <si>
    <t>Name</t>
  </si>
  <si>
    <t>Extension</t>
  </si>
  <si>
    <t>Date accessed</t>
  </si>
  <si>
    <t>Date modified</t>
  </si>
  <si>
    <t>Date created</t>
  </si>
  <si>
    <t>Folder Path</t>
  </si>
  <si>
    <t>2024-01-01-dijkstra.md</t>
  </si>
  <si>
    <t>.md</t>
  </si>
  <si>
    <t>C:\Users\user\Desktop\algorithm_with_boj\_posts\</t>
  </si>
  <si>
    <t>2024-01-03-trie.md</t>
  </si>
  <si>
    <t>2024-01-07-bellman_ford.md</t>
  </si>
  <si>
    <t>2024-01-07-floyd_warshall.md</t>
  </si>
  <si>
    <t>2024-01-11-segtree.md</t>
  </si>
  <si>
    <t>연</t>
    <phoneticPr fontId="3" type="noConversion"/>
  </si>
  <si>
    <t>월</t>
    <phoneticPr fontId="3" type="noConversion"/>
  </si>
  <si>
    <t>일</t>
    <phoneticPr fontId="3" type="noConversion"/>
  </si>
  <si>
    <t>태그</t>
    <phoneticPr fontId="3" type="noConversion"/>
  </si>
  <si>
    <t>2024-01-13-disjoint_set.md</t>
  </si>
  <si>
    <t>포스트 태그</t>
    <phoneticPr fontId="3" type="noConversion"/>
  </si>
  <si>
    <t>포스트 링크</t>
    <phoneticPr fontId="3" type="noConversion"/>
  </si>
  <si>
    <t>Mermaid 노드 정의문</t>
    <phoneticPr fontId="3" type="noConversion"/>
  </si>
  <si>
    <t>2024-01-15-priority_queue.md</t>
  </si>
  <si>
    <t>난이도</t>
    <phoneticPr fontId="3" type="noConversion"/>
  </si>
  <si>
    <t xml:space="preserve"> </t>
  </si>
  <si>
    <t>평균</t>
    <phoneticPr fontId="3" type="noConversion"/>
  </si>
  <si>
    <t>표준편차</t>
    <phoneticPr fontId="3" type="noConversion"/>
  </si>
  <si>
    <t>mermaid badge</t>
    <phoneticPr fontId="3" type="noConversion"/>
  </si>
  <si>
    <t>2024-01-18-euler_tour_technique.md</t>
  </si>
  <si>
    <t>2024-01-20-lca.md</t>
  </si>
  <si>
    <t>2024-01-29-lazyprop.md</t>
  </si>
  <si>
    <t>2024-01-30-pst.md</t>
  </si>
  <si>
    <t>2024-01-31-hld.md</t>
  </si>
  <si>
    <t>2024-02-01-flow.md</t>
  </si>
  <si>
    <t>패러다임</t>
    <phoneticPr fontId="3" type="noConversion"/>
  </si>
  <si>
    <t>자료구조</t>
    <phoneticPr fontId="3" type="noConversion"/>
  </si>
  <si>
    <t>정렬과 검색</t>
    <phoneticPr fontId="3" type="noConversion"/>
  </si>
  <si>
    <t>트리</t>
    <phoneticPr fontId="3" type="noConversion"/>
  </si>
  <si>
    <t>그래프</t>
    <phoneticPr fontId="3" type="noConversion"/>
  </si>
  <si>
    <t>문자열</t>
    <phoneticPr fontId="3" type="noConversion"/>
  </si>
  <si>
    <t>수학</t>
    <phoneticPr fontId="3" type="noConversion"/>
  </si>
  <si>
    <t>정수론</t>
    <phoneticPr fontId="3" type="noConversion"/>
  </si>
  <si>
    <t>기하</t>
    <phoneticPr fontId="3" type="noConversion"/>
  </si>
  <si>
    <t>동적계획법</t>
    <phoneticPr fontId="3" type="noConversion"/>
  </si>
  <si>
    <t>기타</t>
    <phoneticPr fontId="3" type="noConversion"/>
  </si>
  <si>
    <t xml:space="preserve">#divide_and_conquer
#dp
#bruteforcing --&gt; #backtracking
#greedy
#heuristics
</t>
    <phoneticPr fontId="3" type="noConversion"/>
  </si>
  <si>
    <t xml:space="preserve">#data_structures --&gt; #stack
#data_structures --&gt; #queue
#data_structures --&gt; #string
#queue --&gt; #deque
#data_structures --&gt; #linked_list
#data_structures --&gt; #graphs
#data_structures --&gt; #trees
#trees --&gt; #priority_queue
#trees --&gt; #tree_set
#trees --&gt; #segtree
#data_structures --&gt; #hash_set
#graphs --&gt; #graph_traversal
#graph_traversal --&gt; #dfs
#graph_traversal --&gt; #bfs
#recursion --&gt; #dfs
#hashing --&gt; #hash_set
</t>
    <phoneticPr fontId="3" type="noConversion"/>
  </si>
  <si>
    <t xml:space="preserve">#sorting --&gt; #binary_search
#binary_search --&gt; #parametric_search
#parametric_search --&gt; #pbs
</t>
    <phoneticPr fontId="3" type="noConversion"/>
  </si>
  <si>
    <t xml:space="preserve">#graphs --&gt; #shortest_path
#graphs --&gt; #flow
#graphs --&gt; #bipartite_graph
#graphs --&gt; #general_matching
#graphs --&gt; #scc
#graphs --&gt; #functional_graph
#graphs --&gt; #articulation
#graphs --&gt; #mst
#graphs --&gt; #tsp
#graphs --&gt; #dag
#graphs --&gt; #chordal_graph
#graphs --&gt; #degree_sequence
#graphs --&gt; #dual_graph
#graphs --&gt; #flood_fill
#graphs --&gt; #eulerian_path
#general_matching --&gt; #bipartite_matching
#articulation --&gt; #biconnected_component
#articulation --&gt; #cactus
#articulation --&gt; #dominator_tree
#shortest_path --&gt; #dijkstra
#shortest_path --&gt; #bellman_ford
#shortest_path --&gt; #floyd_warshall
#flow --&gt; #circulation
#flow --&gt; #stoer_wagner
#flow --&gt; #mcmf
#flow --&gt; #mfmc
#flow --&gt; #bipartite_matching
#bipartite_graph --&gt; #bipartite_matching
#bipartite_matching --&gt; #hall
#bipartite_matching --&gt; #hungarian
#bipartite_matching --&gt; #stable_marriage
#mst --&gt; #directed_mst
#scc --&gt; #2_sat
#scc --&gt; #permutation_cycle_decomposition
#functional_graph --&gt; #permutation_cycle_decomposition
#dijkstra --&gt; #0_1_bfs
#dijkstra --&gt; #a_star
#dag --&gt; #topological_sorting
#dag --&gt; #lgv
</t>
    <phoneticPr fontId="3" type="noConversion"/>
  </si>
  <si>
    <t xml:space="preserve">#string --&gt; #utf8
#string --&gt; #manacher
#string --&gt; #palindrome_tree
#string --&gt; #rope
#string --&gt; #parsing
#string --&gt; #trie
#string --&gt; #kmp
#string --&gt; #rabin_karp
#string --&gt; #suffix_array
#string --&gt; #z
#parsing --&gt; #regex
#trie --&gt; #aho_corasick
#trie --&gt; #suffix_tree
</t>
    <phoneticPr fontId="3" type="noConversion"/>
  </si>
  <si>
    <t xml:space="preserve">#math --&gt; #number_theory
#math --&gt; #geometry
#math --&gt; #linear_algebra
#math --&gt; #combinatorics
#math --&gt; #game_theory
#math --&gt; #calculus
#math --&gt; #probability
#math --&gt; #pigeonhole_principle
#math --&gt; #statistics
#math --&gt; #physics
#math --&gt; #arithmetic
#math --&gt; #duality
#linear_algebra --&gt; #gaussian_elimination
#linear_algebra --&gt; #sparse_table
#linear_algebra --&gt; #matroid
#game_theory --&gt; #sprague_grundy
#sprague_grundy --&gt; #hackenbush
#calculus --&gt; #fft
#calculus --&gt; #gradient_descent
#calculus --&gt; #ternary_search
#calculus --&gt; #green
#calculus --&gt; #numerical_analysis
#fft --&gt; #multipoint_evaluation
#combinatorics --&gt; #matroid
#combinatorics --&gt; #inclusion_and_exclusion
#combinatorics --&gt; #lucas
#combinatorics --&gt; #burnside
#combinatorics --&gt; #generating_function
#probability --&gt; #bayes
#probability --&gt; #linearity_of_expectation
#probability --&gt; #randomization
#probability --&gt; #differential_cryptanalysis
#probability --&gt; #birthday
#numerical_analysis --&gt; #linear_programming
#numerical_analysis --&gt; #polynomial_interpolation
#arithmetic --&gt; #arbitrary_precision
#arithmetic --&gt; #discrete_kth_root
#arithmetic --&gt; #discrete_log
#arithmetic --&gt; #discrete_sqrt
#arithmetic --&gt; #exponentiation_by_squaring
#pigeonhole_principle --&gt; #birthday
</t>
    <phoneticPr fontId="3" type="noConversion"/>
  </si>
  <si>
    <t xml:space="preserve">#number_theory --&gt; #crt
#number_theory --&gt; #euler_phi
#number_theory --&gt; #euclidean
#number_theory --&gt; #flt
#number_theory --&gt; #primality_test
#number_theory --&gt; #mobius_inversion
#number_theory --&gt; #lte
#primality_test --&gt; #miller_rabin
#primality_test --&gt; #sieve
#flt --&gt; #miller_rabin
#euclidean --&gt; #extended_euclidean
#euclidean --&gt; #pollard_rho
#miller_rabin --&gt; #pollard_rho
#extended_euclidean --&gt; #modular_multiplicative_inverse
</t>
    <phoneticPr fontId="3" type="noConversion"/>
  </si>
  <si>
    <t xml:space="preserve">#geometry --&gt; #pythagoras
#geometry --&gt; #line_intersection
#geometry --&gt; #sweeping
#geometry --&gt; #coordinate_compression
#geometry --&gt; #delaunay
#geometry --&gt; #geometry_3d
#geometry --&gt; #euler_characteristic
#geometry --&gt; #polygon_area
#geometry --&gt; #min_enclosing_circle
#geometry --&gt; #geometric_boolean_operations
#euler_characteristic --&gt; #pick
#euler_characteristic --&gt; #planar_graph
#delaunay &lt;--&gt; #voronoi
#geometry_3d --&gt; #geometry_hyper
#line_intersection --&gt; #convex_hull
#line_intersection --&gt; #point_in_non_convex_polygon
#line_intersection --&gt; #half_plane_intersection
#convex_hull --&gt; #rotating_calipers
#convex_hull --&gt; #point_in_convex_polygon
</t>
    <phoneticPr fontId="3" type="noConversion"/>
  </si>
  <si>
    <t xml:space="preserve">#dp --&gt; #prefix_sum
#dp --&gt; #knapsack
#dp --&gt; #dp_deque
#dp --&gt; #dp_digit
#dp --&gt; #dp_tree
#dp --&gt; #dp_connection_profile
#dp --&gt; #dp_bitfield
#dp --&gt; #dp_sum_over_subsets
#dp --&gt; #slope_trick
#dp --&gt; #cht
#dp --&gt; #divide_and_conquer_optimization
#dp --&gt; #monotone_queue_optimization
#dp --&gt; #knuth
#dp --&gt; #kitamasa
#dp --&gt; #alien
#dp --&gt; #hirschberg
#kitamasa --&gt; #berlekamp_massey
#dp_deque --&gt; #deque_trick
#bitmask --&gt; #bitset
#bitmask --&gt; #dp_connection_profile
#bitmask --&gt; #dp_bitfield
#bitmask --&gt; #dp_sum_over_subsets
</t>
    <phoneticPr fontId="3" type="noConversion"/>
  </si>
  <si>
    <t>mermaid node define</t>
    <phoneticPr fontId="3" type="noConversion"/>
  </si>
  <si>
    <t>#greedy(["#그리디 알고리즘"]):::tier1
#dp(["#다이나믹 프로그래밍"]):::tier2
#backtracking(["#백트래킹"]):::tier1
#divide_and_conquer(["#분할 정복"]):::tier3
#bruteforcing(["#브루트포스 알고리즘"]):::tier1
#heuristics(["#휴리스틱"]):::tier2</t>
    <phoneticPr fontId="3" type="noConversion"/>
  </si>
  <si>
    <t>#graphs(["#그래프 이론"]):::tier2
#graph_traversal(["#그래프 탐색"]):::tier2
#dfs(["#깊이 우선 탐색"]):::tier2
#bfs(["#너비 우선 탐색"]):::tier2
#deque(["#덱"]):::tier2
#string(["#문자열"]):::tier0
#segtree(["&lt;span style="background-color: red; border-radius: 50%; display:inline-block; width:28px; height:28px"&gt;fa:fa-code&lt;/span&gt; &lt;a href="post/2024/01/11/segtree.html"&gt;#세그먼트 트리&lt;/a&gt;"]):::tier3
#stack(["#스택"]):::tier1
#linked_list(["#연결 리스트"]):::tier2
#priority_queue(["&lt;span style="background-color: red; border-radius: 50%; display:inline-block; width:28px; height:28px"&gt;fa:fa-code&lt;/span&gt; &lt;a href="post/2024/01/15/priority_queue.html"&gt;#우선순위 큐&lt;/a&gt;"]):::tier2
#data_structures(["#자료 구조"]):::tier2
#recursion(["#재귀"]):::tier1
#queue(["#큐"]):::tier1
#trees(["#트리"]):::tier2
#tree_set(["#트리를 사용한 집합과 맵"]):::tier2
#hash_set(["#해시를 사용한 집합과 맵"]):::tier1
#hashing(["#해싱"]):::tier3</t>
    <phoneticPr fontId="3" type="noConversion"/>
  </si>
  <si>
    <t>#parametric_search(["#매개 변수 탐색"]):::tier2
#pbs(["#병렬 이분 탐색"]):::tier4
#binary_search(["#이분 탐색"]):::tier2
#sorting(["#정렬"]):::tier1</t>
    <phoneticPr fontId="3" type="noConversion"/>
  </si>
  <si>
    <t>#0_1_bfs(["#0-1 너비 우선 탐색"]):::tier2
#2_sat(["#2-sat"]):::tier3
#a_star(["#a*"]):::tier5
#scc(["#강한 연결 요소"]):::tier3
#graphs(["#그래프 이론"]):::tier2
#articulation(["#단절점과 단절선"]):::tier3
#dijkstra(["&lt;span style="background-color: red; border-radius: 50%; display:inline-block; width:28px; height:28px"&gt;fa:fa-code&lt;/span&gt; &lt;a href="post/2024/01/01/dijkstra.html"&gt;#데이크스트라&lt;/a&gt;"]):::tier2
#dominator_tree(["#도미네이터 트리"]):::tier4
#lgv(["#린드스트롬–게셀–비엔노 보조정리"]):::tier5
#dag(["#방향 비순환 그래프"]):::tier2
#bellman_ford(["&lt;span style="background-color: red; border-radius: 50%; display:inline-block; width:28px; height:28px"&gt;fa:fa-code&lt;/span&gt; &lt;a href="post/2024/01/07/bellman_ford.html"&gt;#벨만–포드&lt;/a&gt;"]):::tier2
#circulation(["#서큘레이션"]):::tier4
#cactus(["#선인장"]):::tier3
#permutation_cycle_decomposition(["#순열 사이클 분할"]):::tier2
#stoer_wagner(["#스토어–바그너"]):::tier4
#dual_graph(["#쌍대 그래프"]):::tier4
#stable_marriage(["#안정 결혼 문제"]):::tier3
#eulerian_path(["#오일러 경로"]):::tier2
#tsp(["#외판원 순회 문제"]):::tier2
#topological_sorting(["#위상 정렬"]):::tier2
#directed_mst(["#유향 최소 신장 트리"]):::tier4
#bipartite_graph(["#이분 그래프"]):::tier2
#bipartite_matching(["#이분 매칭"]):::tier3
#biconnected_component(["#이중 연결 요소"]):::tier3
#general_matching(["#일반적인 매칭"]):::tier5
#degree_sequence(["#차수열"]):::tier2
#shortest_path(["#최단 경로"]):::tier2
#flow(["&lt;span style="background-color: red; border-radius: 50%; display:inline-block; width:28px; height:28px"&gt;fa:fa-code&lt;/span&gt; &lt;a href="post/2024/02/01/flow.html"&gt;#최대 유량&lt;/a&gt;"]):::tier3
#mfmc(["#최대 유량 최소 컷 정리"]):::tier3
#mcmf(["#최소 비용 최대 유량"]):::tier3
#mst(["#최소 스패닝 트리"]):::tier2
#flood_fill(["#플러드 필"]):::tier2
#floyd_warshall(["&lt;span style="background-color: red; border-radius: 50%; display:inline-block; width:28px; height:28px"&gt;fa:fa-code&lt;/span&gt; &lt;a href="post/2024/01/07/floyd_warshall.html"&gt;#플로이드–워셜&lt;/a&gt;"]):::tier2
#functional_graph(["#함수형 그래프"]):::tier3
#hungarian(["#헝가리안"]):::tier3
#chordal_graph(["#현 그래프"]):::tier4
#hall(["#홀의 결혼 정리"]):::tier4</t>
    <phoneticPr fontId="3" type="noConversion"/>
  </si>
  <si>
    <t>#kmp(["#KMP"]):::tier3
#utf8(["#utf-8 입력 처리"]):::tier0
#z(["#z"]):::tier3
#rabin_karp(["#라빈–카프"]):::tier3
#rope(["#로프"]):::tier4
#manacher(["#매내처"]):::tier3
#string(["#문자열"]):::tier0
#aho_corasick(["#아호-코라식"]):::tier3
#suffix_array(["#접미사 배열과 LCP 배열"]):::tier3
#suffix_tree(["#접미사 트리"]):::tier5
#regex(["#정규 표현식"]):::tier1
#trie(["&lt;span style="background-color: red; border-radius: 50%; display:inline-block; width:28px; height:28px"&gt;fa:fa-code&lt;/span&gt; &lt;a href="post/2024/01/03/trie.html"&gt;#트라이&lt;/a&gt;"]):::tier3
#parsing(["#파싱"]):::tier1
#palindrome_tree(["#회문 트리"]):::tier4</t>
    <phoneticPr fontId="3" type="noConversion"/>
  </si>
  <si>
    <t>#gaussian_elimination(["#가우스 소거법"]):::tier3
#game_theory(["#게임 이론"]):::tier2
#gradient_descent(["#경사 하강법"]):::tier3
#fft(["#고속 푸리에 변환"]):::tier4
#green(["#그린 정리"]):::tier4
#linearity_of_expectation(["#기댓값의 선형성"]):::tier2
#geometry(["#기하학"]):::tier1
#multipoint_evaluation(["#다중 대입값 계산"]):::tier5
#polynomial_interpolation(["#다항식 보간법"]):::tier4
#lucas(["#뤼카 정리"]):::tier3
#matroid(["#매트로이드"]):::tier5
#randomization(["#무작위화"]):::tier2
#physics(["#물리학"]):::tier1
#calculus(["#미적분학"]):::tier2
#burnside(["#번사이드 보조정리"]):::tier3
#bayes(["#베이즈 정리"]):::tier3
#exponentiation_by_squaring(["#분할 정복을 이용한 거듭제곱"]):::tier2
#pigeonhole_principle(["#비둘기집 원리"]):::tier1
#arithmetic(["#사칙연산"]):::tier0
#ternary_search(["#삼분 탐색"]):::tier2
#generating_function(["#생성 함수"]):::tier4
#birthday(["#생일 문제"]):::tier2
#linear_programming(["#선형 계획법"]):::tier4
#linear_algebra(["#선형대수학"]):::tier3
#numerical_analysis(["#수치해석"]):::tier3
#math(["#수학"]):::tier1
#sprague_grundy(["#스프라그–그런디 정리"]):::tier3
#duality(["#쌍대성"]):::tier4
#discrete_kth_root(["#이산 k제곱근"]):::tier3
#discrete_log(["#이산 로그"]):::tier4
#discrete_sqrt(["#이산 제곱근"]):::tier4
#arbitrary_precision(["#임의 정밀도 / 큰 수 연산"]):::tier1
#number_theory(["#정수론"]):::tier1
#combinatorics(["#조합론"]):::tier2
#differential_cryptanalysis(["#차분 공격"]):::tier1
#statistics(["#통계학"]):::tier2
#inclusion_and_exclusion(["#포함 배제의 원리"]):::tier2
#hackenbush(["#하켄부시 게임"]):::tier5
#probability(["#확률론"]):::tier2
#sparse_table(["#희소 배열"]):::tier3</t>
    <phoneticPr fontId="3" type="noConversion"/>
  </si>
  <si>
    <t>#modular_multiplicative_inverse(["#모듈로 곱셈 역원"]):::tier2
#mobius_inversion(["#뫼비우스 반전 공식"]):::tier4
#miller_rabin(["#밀러–라빈 소수 판별법"]):::tier3
#primality_test(["#소수 판정"]):::tier1
#sieve(["#에라토스테네스의 체"]):::tier1
#euler_phi(["#오일러 피 함수"]):::tier3
#euclidean(["#유클리드 호제법"]):::tier1
#number_theory(["#정수론"]):::tier1
#crt(["#중국인의 나머지 정리"]):::tier3
#lte(["#지수승강 보조정리"]):::tier4
#flt(["#페르마의 소정리"]):::tier2
#pollard_rho(["#폴라드 로"]):::tier3
#extended_euclidean(["#확장 유클리드 호제법"]):::tier3</t>
    <phoneticPr fontId="3" type="noConversion"/>
  </si>
  <si>
    <t>#geometry_3d(["#3차원 기하학"]):::tier1
#geometry_hyper(["#4차원 이상의 기하학"]):::tier2
#coordinate_compression(["#값 / 좌표 압축"]):::tier2
#geometry(["#기하학"]):::tier1
#polygon_area(["#다각형의 넓이"]):::tier2
#delaunay(["#델로네 삼각분할"]):::tier5
#geometric_boolean_operations(["#도형에서의 불 연산"]):::tier5
#half_plane_intersection(["#반평면 교집합"]):::tier4
#voronoi(["#보로노이 다이어그램"]):::tier3
#convex_hull(["#볼록 껍질"]):::tier3
#point_in_convex_polygon(["#볼록 다각형 내부의 점 판정"]):::tier3
#line_intersection(["#선분 교차 판정"]):::tier2
#sweeping(["#스위핑"]):::tier2
#point_in_non_convex_polygon(["#오목 다각형 내부의 점 판정"]):::tier3
#euler_characteristic(["#오일러 지표 (χ=V-E+F)"]):::tier3
#min_enclosing_circle(["#최소 외접원"]):::tier3
#planar_graph(["#평면 그래프"]):::tier3
#pythagoras(["#피타고라스 정리"]):::tier0
#pick(["#픽의 정리"]):::tier2
#rotating_calipers(["#회전하는 캘리퍼스"]):::tier3</t>
    <phoneticPr fontId="3" type="noConversion"/>
  </si>
  <si>
    <t>#alien(["#Aliens 트릭"]):::tier4
#prefix_sum(["#누적 합"]):::tier2
#dp(["#다이나믹 프로그래밍"]):::tier2
#monotone_queue_optimization(["#단조 큐를 이용한 최적화"]):::tier4
#deque_trick(["#덱을 이용한 구간 최댓값 트릭"]):::tier3
#dp_deque(["#덱을 이용한 다이나믹 프로그래밍"]):::tier3
#knapsack(["#배낭 문제"]):::tier2
#berlekamp_massey(["#벌리캠프–매시"]):::tier3
#cht(["#볼록 껍질을 이용한 최적화"]):::tier3
#dp_sum_over_subsets(["#부분집합의 합 다이나믹 프로그래밍"]):::tier4
#divide_and_conquer_optimization(["#분할 정복을 사용한 최적화"]):::tier4
#bitset(["#비트 집합"]):::tier3
#bitmask(["#비트마스킹"]):::tier2
#dp_bitfield(["#비트필드를 이용한 다이나믹 프로그래밍"]):::tier3
#dp_digit(["#자릿수를 이용한 다이나믹 프로그래밍"]):::tier3
#dp_connection_profile(["#커넥션 프로파일을 이용한 다이나믹 프로그래밍"]):::tier4
#knuth(["#크누스 최적화"]):::tier4
#kitamasa(["#키타마사"]):::tier4
#dp_tree(["#트리에서의 다이나믹 프로그래밍"]):::tier3
#slope_trick(["#함수 개형을 이용한 최적화"]):::tier4
#hirschberg(["#히르쉬버그"]):::tier4</t>
    <phoneticPr fontId="3" type="noConversion"/>
  </si>
  <si>
    <t>분류</t>
    <phoneticPr fontId="3" type="noConversion"/>
  </si>
  <si>
    <t xml:space="preserve">#trees --&gt; #tree_set
#trees --&gt; #priority_queue
#trees --&gt; #segtree
#trees --&gt; #disjoint_set
#trees --&gt; #euler_tour_technique
#trees --&gt; #centroid
#trees --&gt; #tree_compression
#trees --&gt; #tree_decomposition
#trees --&gt; #smaller_to_larger
#tree_set --&gt; #splay_tree
#tree_set --&gt; #rb_tree
#priority_queue --&gt; #cartesian_tree
#lca --&gt; #link_cut_tree
#lca --&gt; #hld
#centroid --&gt; #centroid_decomposition
#centroid --&gt; #tree_isomorphism
#splay_tree --&gt; #link_cut_tree
#link_cut_tree --&gt; #top_tree
#segtree --&gt; #merge_sort_tree
#segtree --&gt; #lazyprop
#segtree --&gt; #pst
#segtree --&gt; #multi_segtree
#segtree --&gt; #offline_dynamic_connectivity
#segtree --&gt; #hld
#euler_tour_technique --&gt; #lca
#lazyprop --&gt; #link_cut_tree
#disjoint_set --&gt; #offline_dynamic_connectivity
</t>
    <phoneticPr fontId="3" type="noConversion"/>
  </si>
  <si>
    <t>#hld(["&lt;span style="background-color: red; border-radius: 50%; display:inline-block; width:28px; height:28px"&gt;fa:fa-code&lt;/span&gt; &lt;a href="post/2024/01/31/hld.html"&gt;#Heavy-light 분할&lt;/a&gt;"]):::tier4
#lazyprop(["&lt;span style="background-color: red; border-radius: 50%; display:inline-block; width:28px; height:28px"&gt;fa:fa-code&lt;/span&gt; &lt;a href="post/2024/01/29/lazyprop.html"&gt;#느리게 갱신되는 세그먼트 트리&lt;/a&gt;"]):::tier3
#multi_segtree(["#다차원 세그먼트 트리"]):::tier3
#cartesian_tree(["#데카르트 트리"]):::tier4
#rb_tree(["#레드-블랙 트리"]):::tier5
#link_cut_tree(["#링크/컷 트리"]):::tier4
#merge_sort_tree(["#머지 소트 트리"]):::tier3
#disjoint_set(["&lt;span style="background-color: red; border-radius: 50%; display:inline-block; width:28px; height:28px"&gt;fa:fa-code&lt;/span&gt; &lt;a href="post/2024/01/13/disjoint_set.html"&gt;#분리 집합&lt;/a&gt;"]):::tier2
#segtree(["&lt;span style="background-color: red; border-radius: 50%; display:inline-block; width:28px; height:28px"&gt;fa:fa-code&lt;/span&gt; &lt;a href="post/2024/01/11/segtree.html"&gt;#세그먼트 트리&lt;/a&gt;"]):::tier3
#centroid(["#센트로이드"]):::tier4
#centroid_decomposition(["#센트로이드 분할"]):::tier4
#splay_tree(["#스플레이 트리"]):::tier4
#euler_tour_technique(["&lt;span style="background-color: red; border-radius: 50%; display:inline-block; width:28px; height:28px"&gt;fa:fa-code&lt;/span&gt; &lt;a href="post/2024/01/18/euler_tour_technique.html"&gt;#오일러 경로 테크닉&lt;/a&gt;"]):::tier3
#offline_dynamic_connectivity(["#오프라인 동적 연결성 판정"]):::tier4
#priority_queue(["&lt;span style="background-color: red; border-radius: 50%; display:inline-block; width:28px; height:28px"&gt;fa:fa-code&lt;/span&gt; &lt;a href="post/2024/01/15/priority_queue.html"&gt;#우선순위 큐&lt;/a&gt;"]):::tier2
#smaller_to_larger(["#작은 집합에서 큰 집합으로 합치는 테크닉"]):::tier3
#lca(["&lt;span style="background-color: red; border-radius: 50%; display:inline-block; width:28px; height:28px"&gt;fa:fa-code&lt;/span&gt; &lt;a href="post/2024/01/20/lca.html"&gt;#최소 공통 조상&lt;/a&gt;"]):::tier3
#top_tree(["#탑 트리"]):::tier5
#trees(["#트리"]):::tier2
#tree_isomorphism(["#트리 동형 사상"]):::tier3
#tree_decomposition(["#트리 분할"]):::tier4
#tree_compression(["#트리 압축"]):::tier3
#tree_set(["#트리를 사용한 집합과 맵"]):::tier2
#pst(["&lt;span style="background-color: red; border-radius: 50%; display:inline-block; width:28px; height:28px"&gt;fa:fa-code&lt;/span&gt; &lt;a href="post/2024/01/30/pst.html"&gt;#퍼시스턴트 세그먼트 트리&lt;/a&gt;"]):::tier4</t>
    <phoneticPr fontId="3" type="noConversion"/>
  </si>
  <si>
    <t>0_1_bfs</t>
  </si>
  <si>
    <t>2_sat</t>
  </si>
  <si>
    <t>a_star</t>
  </si>
  <si>
    <t>ad_hoc</t>
  </si>
  <si>
    <t>aho_corasick</t>
  </si>
  <si>
    <t>alien</t>
  </si>
  <si>
    <t>arbitrary_precision</t>
  </si>
  <si>
    <t>arithmetic</t>
  </si>
  <si>
    <t>articulation</t>
  </si>
  <si>
    <t>backtracking</t>
  </si>
  <si>
    <t>bayes</t>
  </si>
  <si>
    <t>bellman_ford</t>
  </si>
  <si>
    <t>berlekamp_massey</t>
  </si>
  <si>
    <t>bfs</t>
  </si>
  <si>
    <t>biconnected_component</t>
  </si>
  <si>
    <t>bidirectional_search</t>
  </si>
  <si>
    <t>binary_search</t>
  </si>
  <si>
    <t>bipartite_graph</t>
  </si>
  <si>
    <t>bipartite_matching</t>
  </si>
  <si>
    <t>birthday</t>
  </si>
  <si>
    <t>bitmask</t>
  </si>
  <si>
    <t>bitset</t>
  </si>
  <si>
    <t>bruteforcing</t>
  </si>
  <si>
    <t>burnside</t>
  </si>
  <si>
    <t>cactus</t>
  </si>
  <si>
    <t>calculus</t>
  </si>
  <si>
    <t>cartesian_tree</t>
  </si>
  <si>
    <t>case_work</t>
  </si>
  <si>
    <t>centroid</t>
  </si>
  <si>
    <t>centroid_decomposition</t>
  </si>
  <si>
    <t>chordal_graph</t>
  </si>
  <si>
    <t>cht</t>
  </si>
  <si>
    <t>circulation</t>
  </si>
  <si>
    <t>combinatorics</t>
  </si>
  <si>
    <t>constructive</t>
  </si>
  <si>
    <t>convex_hull</t>
  </si>
  <si>
    <t>coordinate_compression</t>
  </si>
  <si>
    <t>crt</t>
  </si>
  <si>
    <t>dag</t>
  </si>
  <si>
    <t>dancing_links</t>
  </si>
  <si>
    <t>data_structures</t>
  </si>
  <si>
    <t>degree_sequence</t>
  </si>
  <si>
    <t>delaunay</t>
  </si>
  <si>
    <t>deque</t>
  </si>
  <si>
    <t>deque_trick</t>
  </si>
  <si>
    <t>dfs</t>
  </si>
  <si>
    <t>differential_cryptanalysis</t>
  </si>
  <si>
    <t>dijkstra</t>
  </si>
  <si>
    <t>directed_mst</t>
  </si>
  <si>
    <t>discrete_kth_root</t>
  </si>
  <si>
    <t>discrete_log</t>
  </si>
  <si>
    <t>discrete_sqrt</t>
  </si>
  <si>
    <t>disjoint_set</t>
  </si>
  <si>
    <t>divide_and_conquer</t>
  </si>
  <si>
    <t>divide_and_conquer_optimization</t>
  </si>
  <si>
    <t>dominator_tree</t>
  </si>
  <si>
    <t>dp</t>
  </si>
  <si>
    <t>dp_bitfield</t>
  </si>
  <si>
    <t>dp_connection_profile</t>
  </si>
  <si>
    <t>dp_deque</t>
  </si>
  <si>
    <t>dp_digit</t>
  </si>
  <si>
    <t>dp_sum_over_subsets</t>
  </si>
  <si>
    <t>dp_tree</t>
  </si>
  <si>
    <t>dual_graph</t>
  </si>
  <si>
    <t>duality</t>
  </si>
  <si>
    <t>euclidean</t>
  </si>
  <si>
    <t>euler_characteristic</t>
  </si>
  <si>
    <t>euler_phi</t>
  </si>
  <si>
    <t>euler_tour_technique</t>
  </si>
  <si>
    <t>eulerian_path</t>
  </si>
  <si>
    <t>exponentiation_by_squaring</t>
  </si>
  <si>
    <t>extended_euclidean</t>
  </si>
  <si>
    <t>fft</t>
  </si>
  <si>
    <t>flood_fill</t>
  </si>
  <si>
    <t>flow</t>
  </si>
  <si>
    <t>floyd_warshall</t>
  </si>
  <si>
    <t>flt</t>
  </si>
  <si>
    <t>functional_graph</t>
  </si>
  <si>
    <t>game_theory</t>
  </si>
  <si>
    <t>gaussian_elimination</t>
  </si>
  <si>
    <t>general_matching</t>
  </si>
  <si>
    <t>generating_function</t>
  </si>
  <si>
    <t>geometric_boolean_operations</t>
  </si>
  <si>
    <t>geometry</t>
  </si>
  <si>
    <t>geometry_3d</t>
  </si>
  <si>
    <t>geometry_hyper</t>
  </si>
  <si>
    <t>gradient_descent</t>
  </si>
  <si>
    <t>graph_traversal</t>
  </si>
  <si>
    <t>graphs</t>
  </si>
  <si>
    <t>greedy</t>
  </si>
  <si>
    <t>green</t>
  </si>
  <si>
    <t>hackenbush</t>
  </si>
  <si>
    <t>half_plane_intersection</t>
  </si>
  <si>
    <t>hall</t>
  </si>
  <si>
    <t>hash_set</t>
  </si>
  <si>
    <t>hashing</t>
  </si>
  <si>
    <t>heuristics</t>
  </si>
  <si>
    <t>hirschberg</t>
  </si>
  <si>
    <t>hld</t>
  </si>
  <si>
    <t>hungarian</t>
  </si>
  <si>
    <t>implementation</t>
  </si>
  <si>
    <t>inclusion_and_exclusion</t>
  </si>
  <si>
    <t>kitamasa</t>
  </si>
  <si>
    <t>kmp</t>
  </si>
  <si>
    <t>knapsack</t>
  </si>
  <si>
    <t>knuth</t>
  </si>
  <si>
    <t>knuth_x</t>
  </si>
  <si>
    <t>lazyprop</t>
  </si>
  <si>
    <t>lca</t>
  </si>
  <si>
    <t>lgv</t>
  </si>
  <si>
    <t>line_intersection</t>
  </si>
  <si>
    <t>linear_algebra</t>
  </si>
  <si>
    <t>linear_programming</t>
  </si>
  <si>
    <t>linearity_of_expectation</t>
  </si>
  <si>
    <t>link_cut_tree</t>
  </si>
  <si>
    <t>linked_list</t>
  </si>
  <si>
    <t>lis</t>
  </si>
  <si>
    <t>lte</t>
  </si>
  <si>
    <t>lucas</t>
  </si>
  <si>
    <t>majority_vote</t>
  </si>
  <si>
    <t>manacher</t>
  </si>
  <si>
    <t>math</t>
  </si>
  <si>
    <t>matroid</t>
  </si>
  <si>
    <t>mcmf</t>
  </si>
  <si>
    <t>merge_sort_tree</t>
  </si>
  <si>
    <t>mfmc</t>
  </si>
  <si>
    <t>miller_rabin</t>
  </si>
  <si>
    <t>min_enclosing_circle</t>
  </si>
  <si>
    <t>mitm</t>
  </si>
  <si>
    <t>mo</t>
  </si>
  <si>
    <t>mobius_inversion</t>
  </si>
  <si>
    <t>modular_multiplicative_inverse</t>
  </si>
  <si>
    <t>monotone_queue_optimization</t>
  </si>
  <si>
    <t>mst</t>
  </si>
  <si>
    <t>multi_segtree</t>
  </si>
  <si>
    <t>multipoint_evaluation</t>
  </si>
  <si>
    <t>number_theory</t>
  </si>
  <si>
    <t>numerical_analysis</t>
  </si>
  <si>
    <t>offline_dynamic_connectivity</t>
  </si>
  <si>
    <t>offline_queries</t>
  </si>
  <si>
    <t>palindrome_tree</t>
  </si>
  <si>
    <t>parametric_search</t>
  </si>
  <si>
    <t>parsing</t>
  </si>
  <si>
    <t>pbs</t>
  </si>
  <si>
    <t>permutation_cycle_decomposition</t>
  </si>
  <si>
    <t>physics</t>
  </si>
  <si>
    <t>pick</t>
  </si>
  <si>
    <t>pigeonhole_principle</t>
  </si>
  <si>
    <t>planar_graph</t>
  </si>
  <si>
    <t>point_in_convex_polygon</t>
  </si>
  <si>
    <t>point_in_non_convex_polygon</t>
  </si>
  <si>
    <t>pollard_rho</t>
  </si>
  <si>
    <t>polygon_area</t>
  </si>
  <si>
    <t>polynomial_interpolation</t>
  </si>
  <si>
    <t>precomputation</t>
  </si>
  <si>
    <t>prefix_sum</t>
  </si>
  <si>
    <t>primality_test</t>
  </si>
  <si>
    <t>priority_queue</t>
  </si>
  <si>
    <t>probability</t>
  </si>
  <si>
    <t>pst</t>
  </si>
  <si>
    <t>pythagoras</t>
  </si>
  <si>
    <t>queue</t>
  </si>
  <si>
    <t>rabin_karp</t>
  </si>
  <si>
    <t>randomization</t>
  </si>
  <si>
    <t>rb_tree</t>
  </si>
  <si>
    <t>recursion</t>
  </si>
  <si>
    <t>regex</t>
  </si>
  <si>
    <t>rope</t>
  </si>
  <si>
    <t>rotating_calipers</t>
  </si>
  <si>
    <t>scc</t>
  </si>
  <si>
    <t>segtree</t>
  </si>
  <si>
    <t>shortest_path</t>
  </si>
  <si>
    <t>sieve</t>
  </si>
  <si>
    <t>simulated_annealing</t>
  </si>
  <si>
    <t>simulation</t>
  </si>
  <si>
    <t>sliding_window</t>
  </si>
  <si>
    <t>slope_trick</t>
  </si>
  <si>
    <t>smaller_to_larger</t>
  </si>
  <si>
    <t>sorting</t>
  </si>
  <si>
    <t>sparse_table</t>
  </si>
  <si>
    <t>splay_tree</t>
  </si>
  <si>
    <t>sprague_grundy</t>
  </si>
  <si>
    <t>sqrt_decomposition</t>
  </si>
  <si>
    <t>stable_marriage</t>
  </si>
  <si>
    <t>stack</t>
  </si>
  <si>
    <t>statistics</t>
  </si>
  <si>
    <t>stoer_wagner</t>
  </si>
  <si>
    <t>string</t>
  </si>
  <si>
    <t>suffix_array</t>
  </si>
  <si>
    <t>suffix_tree</t>
  </si>
  <si>
    <t>sweeping</t>
  </si>
  <si>
    <t>ternary_search</t>
  </si>
  <si>
    <t>top_tree</t>
  </si>
  <si>
    <t>topological_sorting</t>
  </si>
  <si>
    <t>tree_compression</t>
  </si>
  <si>
    <t>tree_decomposition</t>
  </si>
  <si>
    <t>tree_isomorphism</t>
  </si>
  <si>
    <t>tree_set</t>
  </si>
  <si>
    <t>trees</t>
  </si>
  <si>
    <t>trie</t>
  </si>
  <si>
    <t>tsp</t>
  </si>
  <si>
    <t>two_pointer</t>
  </si>
  <si>
    <t>utf8</t>
  </si>
  <si>
    <t>voronoi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</si>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</sst>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scheme val="minor"/>
    </font>
    <font>
      <sz val="11"/>
      <color theme="1"/>
      <name val="Malgun Gothic"/>
      <family val="3"/>
      <charset val="129"/>
    </font>
    <font>
      <sz val="11"/>
      <color theme="1"/>
      <name val="Calibri"/>
      <scheme val="minor"/>
    </font>
    <font>
      <sz val="8"/>
      <name val="Calibri"/>
      <family val="3"/>
      <charset val="129"/>
      <scheme val="minor"/>
    </font>
    <font>
      <sz val="11"/>
      <color theme="1"/>
      <name val="Arial Unicode MS"/>
      <family val="2"/>
    </font>
    <font>
      <sz val="11"/>
      <color theme="1"/>
      <name val="굴림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7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2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 wrapText="1"/>
    </xf>
  </cellXfs>
  <cellStyles count="2">
    <cellStyle name="표준" xfId="0" builtinId="0"/>
    <cellStyle name="하이퍼링크" xfId="1" builtinId="8"/>
  </cellStyles>
  <dxfs count="6">
    <dxf>
      <numFmt numFmtId="0" formatCode="General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6D8EDF6-7421-4B40-A3D8-D8195973CDF1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183A3D-2836-4972-9817-ECFB0709A437}" name="_posts" displayName="_posts" ref="A1:F14" tableType="queryTable" totalsRowShown="0">
  <autoFilter ref="A1:F14" xr:uid="{AE183A3D-2836-4972-9817-ECFB0709A437}"/>
  <tableColumns count="6">
    <tableColumn id="1" xr3:uid="{91294924-C678-48EA-9F31-37AB949336EE}" uniqueName="1" name="Name" queryTableFieldId="1" dataDxfId="5"/>
    <tableColumn id="2" xr3:uid="{D4C7D295-64DB-4A72-9732-081453D033AA}" uniqueName="2" name="Extension" queryTableFieldId="2" dataDxfId="4"/>
    <tableColumn id="3" xr3:uid="{A70D67B2-82E1-4425-AED9-3F18BC7B5845}" uniqueName="3" name="Date accessed" queryTableFieldId="3" dataDxfId="3"/>
    <tableColumn id="4" xr3:uid="{7FE60C26-CB1B-45D7-98E8-D140895F32E5}" uniqueName="4" name="Date modified" queryTableFieldId="4" dataDxfId="2"/>
    <tableColumn id="5" xr3:uid="{3EA286B2-B06B-48B8-BE3D-9942EE7BCA4A}" uniqueName="5" name="Date created" queryTableFieldId="5" dataDxfId="1"/>
    <tableColumn id="6" xr3:uid="{11606AE8-8EA7-430F-959B-CE88632419B3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2"/>
  <sheetViews>
    <sheetView zoomScale="85" zoomScaleNormal="85" workbookViewId="0">
      <selection activeCell="C3" sqref="C3"/>
    </sheetView>
  </sheetViews>
  <sheetFormatPr defaultColWidth="14.42578125" defaultRowHeight="15"/>
  <cols>
    <col min="2" max="2" width="81.140625" customWidth="1"/>
    <col min="3" max="3" width="88.85546875" customWidth="1"/>
    <col min="4" max="26" width="8.7109375" customWidth="1"/>
  </cols>
  <sheetData>
    <row r="1" spans="1:26" ht="16.5">
      <c r="A1" s="13" t="s">
        <v>272</v>
      </c>
      <c r="B1" s="1" t="s">
        <v>208</v>
      </c>
      <c r="C1" s="1" t="s">
        <v>262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99">
      <c r="A2" s="6" t="s">
        <v>242</v>
      </c>
      <c r="B2" s="4" t="s">
        <v>253</v>
      </c>
      <c r="C2" s="4" t="s">
        <v>263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346.5">
      <c r="A3" s="15" t="s">
        <v>243</v>
      </c>
      <c r="B3" s="16" t="s">
        <v>254</v>
      </c>
      <c r="C3" s="4" t="s">
        <v>264</v>
      </c>
    </row>
    <row r="4" spans="1:26" ht="66">
      <c r="A4" s="15" t="s">
        <v>244</v>
      </c>
      <c r="B4" s="16" t="s">
        <v>255</v>
      </c>
      <c r="C4" s="4" t="s">
        <v>265</v>
      </c>
    </row>
    <row r="5" spans="1:26" ht="409.5">
      <c r="A5" s="15" t="s">
        <v>245</v>
      </c>
      <c r="B5" s="16" t="s">
        <v>273</v>
      </c>
      <c r="C5" s="4" t="s">
        <v>274</v>
      </c>
    </row>
    <row r="6" spans="1:26" ht="409.5">
      <c r="A6" s="15" t="s">
        <v>246</v>
      </c>
      <c r="B6" s="16" t="s">
        <v>256</v>
      </c>
      <c r="C6" s="4" t="s">
        <v>266</v>
      </c>
    </row>
    <row r="7" spans="1:26" ht="264">
      <c r="A7" s="15" t="s">
        <v>247</v>
      </c>
      <c r="B7" s="16" t="s">
        <v>257</v>
      </c>
      <c r="C7" s="4" t="s">
        <v>267</v>
      </c>
    </row>
    <row r="8" spans="1:26" ht="409.5">
      <c r="A8" s="15" t="s">
        <v>248</v>
      </c>
      <c r="B8" s="16" t="s">
        <v>258</v>
      </c>
      <c r="C8" s="4" t="s">
        <v>268</v>
      </c>
    </row>
    <row r="9" spans="1:26" ht="225">
      <c r="A9" s="6" t="s">
        <v>249</v>
      </c>
      <c r="B9" s="16" t="s">
        <v>259</v>
      </c>
      <c r="C9" s="4" t="s">
        <v>269</v>
      </c>
    </row>
    <row r="10" spans="1:26" ht="330">
      <c r="A10" s="15" t="s">
        <v>250</v>
      </c>
      <c r="B10" s="16" t="s">
        <v>260</v>
      </c>
      <c r="C10" s="4" t="s">
        <v>270</v>
      </c>
    </row>
    <row r="11" spans="1:26" ht="346.5">
      <c r="A11" s="15" t="s">
        <v>251</v>
      </c>
      <c r="B11" s="16" t="s">
        <v>261</v>
      </c>
      <c r="C11" s="4" t="s">
        <v>271</v>
      </c>
    </row>
    <row r="12" spans="1:26" ht="16.5">
      <c r="A12" s="15" t="s">
        <v>252</v>
      </c>
      <c r="C12" s="4"/>
    </row>
  </sheetData>
  <phoneticPr fontId="3" type="noConversion"/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4603E-5347-446A-87C0-5EE705796E10}">
  <sheetPr codeName="Sheet4"/>
  <dimension ref="A1:B1"/>
  <sheetViews>
    <sheetView workbookViewId="0">
      <selection activeCell="B2" sqref="B2"/>
    </sheetView>
  </sheetViews>
  <sheetFormatPr defaultRowHeight="15"/>
  <cols>
    <col min="1" max="1" width="26" customWidth="1"/>
  </cols>
  <sheetData>
    <row r="1" spans="1:2">
      <c r="A1" s="10" t="s">
        <v>235</v>
      </c>
      <c r="B1" t="str">
        <f>"&lt;span style=""background-color: red; border-radius: 50%; display:inline-block; width:28px; height:28px""&gt;fa:fa-code&lt;/span&gt; "</f>
        <v xml:space="preserve">&lt;span style="background-color: red; border-radius: 50%; display:inline-block; width:28px; height:28px"&gt;fa:fa-code&lt;/span&gt; 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00"/>
  <sheetViews>
    <sheetView tabSelected="1" zoomScale="85" zoomScaleNormal="85" workbookViewId="0">
      <pane xSplit="1" ySplit="1" topLeftCell="B179" activePane="bottomRight" state="frozen"/>
      <selection pane="topRight" activeCell="B1" sqref="B1"/>
      <selection pane="bottomLeft" activeCell="A2" sqref="A2"/>
      <selection pane="bottomRight" activeCell="D189" sqref="D189"/>
    </sheetView>
  </sheetViews>
  <sheetFormatPr defaultColWidth="14.42578125" defaultRowHeight="15" customHeight="1"/>
  <cols>
    <col min="1" max="1" width="67.5703125" customWidth="1"/>
    <col min="2" max="2" width="51.42578125" customWidth="1"/>
    <col min="3" max="3" width="46.140625" customWidth="1"/>
    <col min="4" max="4" width="33.7109375" customWidth="1"/>
    <col min="5" max="5" width="8.7109375" customWidth="1"/>
    <col min="6" max="6" width="32.28515625" customWidth="1"/>
    <col min="7" max="7" width="42.28515625" customWidth="1"/>
    <col min="8" max="27" width="8.7109375" customWidth="1"/>
  </cols>
  <sheetData>
    <row r="1" spans="1:7" ht="15.75" customHeight="1">
      <c r="A1" s="1" t="s">
        <v>0</v>
      </c>
      <c r="B1" s="1" t="s">
        <v>227</v>
      </c>
      <c r="C1" s="1" t="s">
        <v>1</v>
      </c>
      <c r="D1" s="1" t="s">
        <v>2</v>
      </c>
      <c r="E1" s="1" t="s">
        <v>231</v>
      </c>
      <c r="F1" s="1" t="s">
        <v>228</v>
      </c>
      <c r="G1" s="1" t="s">
        <v>229</v>
      </c>
    </row>
    <row r="2" spans="1:7" ht="16.5" customHeight="1">
      <c r="A2" s="2" t="s">
        <v>3</v>
      </c>
      <c r="B2" s="2" t="str">
        <f>_xlfn.CONCAT(SUBSTITUTE(C2, " ", "_"),"(",D2,")")</f>
        <v>0-1_너비_우선_탐색(0_1_bfs)</v>
      </c>
      <c r="C2" s="2" t="str">
        <f>MID(A2, 2, LEN(A2) - LEN(D2) - 2)</f>
        <v>0-1 너비 우선 탐색</v>
      </c>
      <c r="D2" s="2" t="str">
        <f xml:space="preserve"> TRIM(RIGHT(SUBSTITUTE(A2," ",REPT(" ",100)),100))</f>
        <v>0_1_bfs</v>
      </c>
      <c r="E2" s="2" t="str">
        <f>_xlfn.CONCAT("tier", VLOOKUP(D2,tag_diff!$A:$BL,64,FALSE))</f>
        <v>tier2</v>
      </c>
      <c r="F2" s="3" t="str">
        <f>IFERROR(VLOOKUP(RIGHT(D2, LEN(D2) - 1),'post-link-extract'!$A:$E, 5, 0), "")</f>
        <v/>
      </c>
      <c r="G2" s="2" t="str">
        <f>_xlfn.CONCAT(IF(LEN(F2)=0, CONCATENATE(D2, "([""", C2, """])"), CONCATENATE(D2,"([""",params!$B$1, "&lt;a href=""", F2, """&gt;", C2, "&lt;/a&gt;""])")), ":::", E2)</f>
        <v>0_1_bfs(["0-1 너비 우선 탐색"]):::tier2</v>
      </c>
    </row>
    <row r="3" spans="1:7" ht="16.5" customHeight="1">
      <c r="A3" s="2" t="s">
        <v>4</v>
      </c>
      <c r="B3" s="2" t="str">
        <f t="shared" ref="B3:B66" si="0">_xlfn.CONCAT(SUBSTITUTE(C3, " ", "_"),"(",D3,")")</f>
        <v>2-sat(2_sat)</v>
      </c>
      <c r="C3" s="2" t="str">
        <f t="shared" ref="C3:C66" si="1">MID(A3, 2, LEN(A3) - LEN(D3) - 2)</f>
        <v>2-sat</v>
      </c>
      <c r="D3" s="2" t="str">
        <f xml:space="preserve"> TRIM(RIGHT(SUBSTITUTE(A3," ",REPT(" ",100)),100))</f>
        <v>2_sat</v>
      </c>
      <c r="E3" s="2" t="str">
        <f>_xlfn.CONCAT("tier", VLOOKUP(D3,tag_diff!$A:$BL,64,FALSE))</f>
        <v>tier3</v>
      </c>
      <c r="F3" s="3" t="str">
        <f>IFERROR(VLOOKUP(RIGHT(D3, LEN(D3) - 1),'post-link-extract'!$A:$E, 5, 0), "")</f>
        <v/>
      </c>
      <c r="G3" s="2" t="str">
        <f>_xlfn.CONCAT(IF(LEN(F3)=0, CONCATENATE(D3, "([""", C3, """])"), CONCATENATE(D3,"([""",params!$B$1, "&lt;a href=""", F3, """&gt;", C3, "&lt;/a&gt;""])")), ":::", E3)</f>
        <v>2_sat(["2-sat"]):::tier3</v>
      </c>
    </row>
    <row r="4" spans="1:7" ht="16.5" customHeight="1">
      <c r="A4" s="2" t="s">
        <v>5</v>
      </c>
      <c r="B4" s="2" t="str">
        <f t="shared" si="0"/>
        <v>a*(a_star)</v>
      </c>
      <c r="C4" s="2" t="str">
        <f t="shared" si="1"/>
        <v>a*</v>
      </c>
      <c r="D4" s="2" t="str">
        <f xml:space="preserve"> TRIM(RIGHT(SUBSTITUTE(A4," ",REPT(" ",100)),100))</f>
        <v>a_star</v>
      </c>
      <c r="E4" s="2" t="str">
        <f>_xlfn.CONCAT("tier", VLOOKUP(D4,tag_diff!$A:$BL,64,FALSE))</f>
        <v>tier5</v>
      </c>
      <c r="F4" s="3" t="str">
        <f>IFERROR(VLOOKUP(RIGHT(D4, LEN(D4) - 1),'post-link-extract'!$A:$E, 5, 0), "")</f>
        <v/>
      </c>
      <c r="G4" s="2" t="str">
        <f>_xlfn.CONCAT(IF(LEN(F4)=0, CONCATENATE(D4, "([""", C4, """])"), CONCATENATE(D4,"([""",params!$B$1, "&lt;a href=""", F4, """&gt;", C4, "&lt;/a&gt;""])")), ":::", E4)</f>
        <v>a_star(["a*"]):::tier5</v>
      </c>
    </row>
    <row r="5" spans="1:7" ht="16.5" customHeight="1">
      <c r="A5" s="2" t="s">
        <v>6</v>
      </c>
      <c r="B5" s="2" t="str">
        <f t="shared" si="0"/>
        <v>애드_혹(ad_hoc)</v>
      </c>
      <c r="C5" s="2" t="str">
        <f t="shared" si="1"/>
        <v>애드 혹</v>
      </c>
      <c r="D5" s="2" t="str">
        <f xml:space="preserve"> TRIM(RIGHT(SUBSTITUTE(A5," ",REPT(" ",100)),100))</f>
        <v>ad_hoc</v>
      </c>
      <c r="E5" s="2" t="str">
        <f>_xlfn.CONCAT("tier", VLOOKUP(D5,tag_diff!$A:$BL,64,FALSE))</f>
        <v>tier2</v>
      </c>
      <c r="F5" s="3" t="str">
        <f>IFERROR(VLOOKUP(RIGHT(D5, LEN(D5) - 1),'post-link-extract'!$A:$E, 5, 0), "")</f>
        <v/>
      </c>
      <c r="G5" s="2" t="str">
        <f>_xlfn.CONCAT(IF(LEN(F5)=0, CONCATENATE(D5, "([""", C5, """])"), CONCATENATE(D5,"([""",params!$B$1, "&lt;a href=""", F5, """&gt;", C5, "&lt;/a&gt;""])")), ":::", E5)</f>
        <v>ad_hoc(["애드 혹"]):::tier2</v>
      </c>
    </row>
    <row r="6" spans="1:7" ht="16.5" customHeight="1">
      <c r="A6" s="2" t="s">
        <v>7</v>
      </c>
      <c r="B6" s="2" t="str">
        <f t="shared" si="0"/>
        <v>아호-코라식(aho_corasick)</v>
      </c>
      <c r="C6" s="2" t="str">
        <f t="shared" si="1"/>
        <v>아호-코라식</v>
      </c>
      <c r="D6" s="2" t="str">
        <f xml:space="preserve"> TRIM(RIGHT(SUBSTITUTE(A6," ",REPT(" ",100)),100))</f>
        <v>aho_corasick</v>
      </c>
      <c r="E6" s="2" t="str">
        <f>_xlfn.CONCAT("tier", VLOOKUP(D6,tag_diff!$A:$BL,64,FALSE))</f>
        <v>tier3</v>
      </c>
      <c r="F6" s="3" t="str">
        <f>IFERROR(VLOOKUP(RIGHT(D6, LEN(D6) - 1),'post-link-extract'!$A:$E, 5, 0), "")</f>
        <v/>
      </c>
      <c r="G6" s="2" t="str">
        <f>_xlfn.CONCAT(IF(LEN(F6)=0, CONCATENATE(D6, "([""", C6, """])"), CONCATENATE(D6,"([""",params!$B$1, "&lt;a href=""", F6, """&gt;", C6, "&lt;/a&gt;""])")), ":::", E6)</f>
        <v>aho_corasick(["아호-코라식"]):::tier3</v>
      </c>
    </row>
    <row r="7" spans="1:7" ht="16.5" customHeight="1">
      <c r="A7" s="2" t="s">
        <v>8</v>
      </c>
      <c r="B7" s="2" t="str">
        <f t="shared" si="0"/>
        <v>Aliens_트릭(alien)</v>
      </c>
      <c r="C7" s="2" t="str">
        <f t="shared" si="1"/>
        <v>Aliens 트릭</v>
      </c>
      <c r="D7" s="2" t="str">
        <f xml:space="preserve"> TRIM(RIGHT(SUBSTITUTE(A7," ",REPT(" ",100)),100))</f>
        <v>alien</v>
      </c>
      <c r="E7" s="2" t="str">
        <f>_xlfn.CONCAT("tier", VLOOKUP(D7,tag_diff!$A:$BL,64,FALSE))</f>
        <v>tier4</v>
      </c>
      <c r="F7" s="3" t="str">
        <f>IFERROR(VLOOKUP(RIGHT(D7, LEN(D7) - 1),'post-link-extract'!$A:$E, 5, 0), "")</f>
        <v/>
      </c>
      <c r="G7" s="2" t="str">
        <f>_xlfn.CONCAT(IF(LEN(F7)=0, CONCATENATE(D7, "([""", C7, """])"), CONCATENATE(D7,"([""",params!$B$1, "&lt;a href=""", F7, """&gt;", C7, "&lt;/a&gt;""])")), ":::", E7)</f>
        <v>alien(["Aliens 트릭"]):::tier4</v>
      </c>
    </row>
    <row r="8" spans="1:7" ht="16.5" customHeight="1">
      <c r="A8" s="2" t="s">
        <v>9</v>
      </c>
      <c r="B8" s="2" t="str">
        <f t="shared" si="0"/>
        <v>임의_정밀도_/_큰_수_연산(arbitrary_precision)</v>
      </c>
      <c r="C8" s="2" t="str">
        <f t="shared" si="1"/>
        <v>임의 정밀도 / 큰 수 연산</v>
      </c>
      <c r="D8" s="2" t="str">
        <f xml:space="preserve"> TRIM(RIGHT(SUBSTITUTE(A8," ",REPT(" ",100)),100))</f>
        <v>arbitrary_precision</v>
      </c>
      <c r="E8" s="2" t="str">
        <f>_xlfn.CONCAT("tier", VLOOKUP(D8,tag_diff!$A:$BL,64,FALSE))</f>
        <v>tier1</v>
      </c>
      <c r="F8" s="3" t="str">
        <f>IFERROR(VLOOKUP(RIGHT(D8, LEN(D8) - 1),'post-link-extract'!$A:$E, 5, 0), "")</f>
        <v/>
      </c>
      <c r="G8" s="2" t="str">
        <f>_xlfn.CONCAT(IF(LEN(F8)=0, CONCATENATE(D8, "([""", C8, """])"), CONCATENATE(D8,"([""",params!$B$1, "&lt;a href=""", F8, """&gt;", C8, "&lt;/a&gt;""])")), ":::", E8)</f>
        <v>arbitrary_precision(["임의 정밀도 / 큰 수 연산"]):::tier1</v>
      </c>
    </row>
    <row r="9" spans="1:7" ht="16.5" customHeight="1">
      <c r="A9" s="2" t="s">
        <v>10</v>
      </c>
      <c r="B9" s="2" t="str">
        <f t="shared" si="0"/>
        <v>사칙연산(arithmetic)</v>
      </c>
      <c r="C9" s="2" t="str">
        <f t="shared" si="1"/>
        <v>사칙연산</v>
      </c>
      <c r="D9" s="2" t="str">
        <f xml:space="preserve"> TRIM(RIGHT(SUBSTITUTE(A9," ",REPT(" ",100)),100))</f>
        <v>arithmetic</v>
      </c>
      <c r="E9" s="2" t="str">
        <f>_xlfn.CONCAT("tier", VLOOKUP(D9,tag_diff!$A:$BL,64,FALSE))</f>
        <v>tier0</v>
      </c>
      <c r="F9" s="3" t="str">
        <f>IFERROR(VLOOKUP(RIGHT(D9, LEN(D9) - 1),'post-link-extract'!$A:$E, 5, 0), "")</f>
        <v/>
      </c>
      <c r="G9" s="2" t="str">
        <f>_xlfn.CONCAT(IF(LEN(F9)=0, CONCATENATE(D9, "([""", C9, """])"), CONCATENATE(D9,"([""",params!$B$1, "&lt;a href=""", F9, """&gt;", C9, "&lt;/a&gt;""])")), ":::", E9)</f>
        <v>arithmetic(["사칙연산"]):::tier0</v>
      </c>
    </row>
    <row r="10" spans="1:7" ht="16.5" customHeight="1">
      <c r="A10" s="2" t="s">
        <v>11</v>
      </c>
      <c r="B10" s="2" t="str">
        <f t="shared" si="0"/>
        <v>단절점과_단절선(articulation)</v>
      </c>
      <c r="C10" s="2" t="str">
        <f t="shared" si="1"/>
        <v>단절점과 단절선</v>
      </c>
      <c r="D10" s="2" t="str">
        <f xml:space="preserve"> TRIM(RIGHT(SUBSTITUTE(A10," ",REPT(" ",100)),100))</f>
        <v>articulation</v>
      </c>
      <c r="E10" s="2" t="str">
        <f>_xlfn.CONCAT("tier", VLOOKUP(D10,tag_diff!$A:$BL,64,FALSE))</f>
        <v>tier3</v>
      </c>
      <c r="F10" s="3" t="str">
        <f>IFERROR(VLOOKUP(RIGHT(D10, LEN(D10) - 1),'post-link-extract'!$A:$E, 5, 0), "")</f>
        <v/>
      </c>
      <c r="G10" s="2" t="str">
        <f>_xlfn.CONCAT(IF(LEN(F10)=0, CONCATENATE(D10, "([""", C10, """])"), CONCATENATE(D10,"([""",params!$B$1, "&lt;a href=""", F10, """&gt;", C10, "&lt;/a&gt;""])")), ":::", E10)</f>
        <v>articulation(["단절점과 단절선"]):::tier3</v>
      </c>
    </row>
    <row r="11" spans="1:7" ht="16.5" customHeight="1">
      <c r="A11" s="2" t="s">
        <v>12</v>
      </c>
      <c r="B11" s="2" t="str">
        <f t="shared" si="0"/>
        <v>백트래킹(backtracking)</v>
      </c>
      <c r="C11" s="2" t="str">
        <f t="shared" si="1"/>
        <v>백트래킹</v>
      </c>
      <c r="D11" s="2" t="str">
        <f xml:space="preserve"> TRIM(RIGHT(SUBSTITUTE(A11," ",REPT(" ",100)),100))</f>
        <v>backtracking</v>
      </c>
      <c r="E11" s="2" t="str">
        <f>_xlfn.CONCAT("tier", VLOOKUP(D11,tag_diff!$A:$BL,64,FALSE))</f>
        <v>tier1</v>
      </c>
      <c r="F11" s="3" t="str">
        <f>IFERROR(VLOOKUP(RIGHT(D11, LEN(D11) - 1),'post-link-extract'!$A:$E, 5, 0), "")</f>
        <v/>
      </c>
      <c r="G11" s="2" t="str">
        <f>_xlfn.CONCAT(IF(LEN(F11)=0, CONCATENATE(D11, "([""", C11, """])"), CONCATENATE(D11,"([""",params!$B$1, "&lt;a href=""", F11, """&gt;", C11, "&lt;/a&gt;""])")), ":::", E11)</f>
        <v>backtracking(["백트래킹"]):::tier1</v>
      </c>
    </row>
    <row r="12" spans="1:7" ht="16.5" customHeight="1">
      <c r="A12" s="2" t="s">
        <v>13</v>
      </c>
      <c r="B12" s="2" t="str">
        <f t="shared" si="0"/>
        <v>베이즈_정리(bayes)</v>
      </c>
      <c r="C12" s="2" t="str">
        <f t="shared" si="1"/>
        <v>베이즈 정리</v>
      </c>
      <c r="D12" s="2" t="str">
        <f xml:space="preserve"> TRIM(RIGHT(SUBSTITUTE(A12," ",REPT(" ",100)),100))</f>
        <v>bayes</v>
      </c>
      <c r="E12" s="2" t="str">
        <f>_xlfn.CONCAT("tier", VLOOKUP(D12,tag_diff!$A:$BL,64,FALSE))</f>
        <v>tier3</v>
      </c>
      <c r="F12" s="3" t="str">
        <f>IFERROR(VLOOKUP(RIGHT(D12, LEN(D12) - 1),'post-link-extract'!$A:$E, 5, 0), "")</f>
        <v/>
      </c>
      <c r="G12" s="2" t="str">
        <f>_xlfn.CONCAT(IF(LEN(F12)=0, CONCATENATE(D12, "([""", C12, """])"), CONCATENATE(D12,"([""",params!$B$1, "&lt;a href=""", F12, """&gt;", C12, "&lt;/a&gt;""])")), ":::", E12)</f>
        <v>bayes(["베이즈 정리"]):::tier3</v>
      </c>
    </row>
    <row r="13" spans="1:7" ht="16.5" customHeight="1">
      <c r="A13" s="2" t="s">
        <v>14</v>
      </c>
      <c r="B13" s="2" t="str">
        <f t="shared" si="0"/>
        <v>벨만–포드(bellman_ford)</v>
      </c>
      <c r="C13" s="2" t="str">
        <f t="shared" si="1"/>
        <v>벨만–포드</v>
      </c>
      <c r="D13" s="2" t="str">
        <f xml:space="preserve"> TRIM(RIGHT(SUBSTITUTE(A13," ",REPT(" ",100)),100))</f>
        <v>bellman_ford</v>
      </c>
      <c r="E13" s="2" t="str">
        <f>_xlfn.CONCAT("tier", VLOOKUP(D13,tag_diff!$A:$BL,64,FALSE))</f>
        <v>tier2</v>
      </c>
      <c r="F13" s="3" t="str">
        <f>IFERROR(VLOOKUP(RIGHT(D13, LEN(D13) - 1),'post-link-extract'!$A:$E, 5, 0), "")</f>
        <v/>
      </c>
      <c r="G13" s="2" t="str">
        <f>_xlfn.CONCAT(IF(LEN(F13)=0, CONCATENATE(D13, "([""", C13, """])"), CONCATENATE(D13,"([""",params!$B$1, "&lt;a href=""", F13, """&gt;", C13, "&lt;/a&gt;""])")), ":::", E13)</f>
        <v>bellman_ford(["벨만–포드"]):::tier2</v>
      </c>
    </row>
    <row r="14" spans="1:7" ht="16.5" customHeight="1">
      <c r="A14" s="2" t="s">
        <v>15</v>
      </c>
      <c r="B14" s="2" t="str">
        <f t="shared" si="0"/>
        <v>벌리캠프–매시(berlekamp_massey)</v>
      </c>
      <c r="C14" s="2" t="str">
        <f t="shared" si="1"/>
        <v>벌리캠프–매시</v>
      </c>
      <c r="D14" s="2" t="str">
        <f xml:space="preserve"> TRIM(RIGHT(SUBSTITUTE(A14," ",REPT(" ",100)),100))</f>
        <v>berlekamp_massey</v>
      </c>
      <c r="E14" s="2" t="str">
        <f>_xlfn.CONCAT("tier", VLOOKUP(D14,tag_diff!$A:$BL,64,FALSE))</f>
        <v>tier3</v>
      </c>
      <c r="F14" s="3" t="str">
        <f>IFERROR(VLOOKUP(RIGHT(D14, LEN(D14) - 1),'post-link-extract'!$A:$E, 5, 0), "")</f>
        <v/>
      </c>
      <c r="G14" s="2" t="str">
        <f>_xlfn.CONCAT(IF(LEN(F14)=0, CONCATENATE(D14, "([""", C14, """])"), CONCATENATE(D14,"([""",params!$B$1, "&lt;a href=""", F14, """&gt;", C14, "&lt;/a&gt;""])")), ":::", E14)</f>
        <v>berlekamp_massey(["벌리캠프–매시"]):::tier3</v>
      </c>
    </row>
    <row r="15" spans="1:7" ht="16.5" customHeight="1">
      <c r="A15" s="2" t="s">
        <v>16</v>
      </c>
      <c r="B15" s="2" t="str">
        <f t="shared" si="0"/>
        <v>너비_우선_탐색(bfs)</v>
      </c>
      <c r="C15" s="2" t="str">
        <f t="shared" si="1"/>
        <v>너비 우선 탐색</v>
      </c>
      <c r="D15" s="2" t="str">
        <f xml:space="preserve"> TRIM(RIGHT(SUBSTITUTE(A15," ",REPT(" ",100)),100))</f>
        <v>bfs</v>
      </c>
      <c r="E15" s="2" t="str">
        <f>_xlfn.CONCAT("tier", VLOOKUP(D15,tag_diff!$A:$BL,64,FALSE))</f>
        <v>tier2</v>
      </c>
      <c r="F15" s="3" t="str">
        <f>IFERROR(VLOOKUP(RIGHT(D15, LEN(D15) - 1),'post-link-extract'!$A:$E, 5, 0), "")</f>
        <v/>
      </c>
      <c r="G15" s="2" t="str">
        <f>_xlfn.CONCAT(IF(LEN(F15)=0, CONCATENATE(D15, "([""", C15, """])"), CONCATENATE(D15,"([""",params!$B$1, "&lt;a href=""", F15, """&gt;", C15, "&lt;/a&gt;""])")), ":::", E15)</f>
        <v>bfs(["너비 우선 탐색"]):::tier2</v>
      </c>
    </row>
    <row r="16" spans="1:7" ht="16.5" customHeight="1">
      <c r="A16" s="2" t="s">
        <v>17</v>
      </c>
      <c r="B16" s="2" t="str">
        <f t="shared" si="0"/>
        <v>이중_연결_요소(biconnected_component)</v>
      </c>
      <c r="C16" s="2" t="str">
        <f t="shared" si="1"/>
        <v>이중 연결 요소</v>
      </c>
      <c r="D16" s="2" t="str">
        <f xml:space="preserve"> TRIM(RIGHT(SUBSTITUTE(A16," ",REPT(" ",100)),100))</f>
        <v>biconnected_component</v>
      </c>
      <c r="E16" s="2" t="str">
        <f>_xlfn.CONCAT("tier", VLOOKUP(D16,tag_diff!$A:$BL,64,FALSE))</f>
        <v>tier3</v>
      </c>
      <c r="F16" s="3" t="str">
        <f>IFERROR(VLOOKUP(RIGHT(D16, LEN(D16) - 1),'post-link-extract'!$A:$E, 5, 0), "")</f>
        <v/>
      </c>
      <c r="G16" s="2" t="str">
        <f>_xlfn.CONCAT(IF(LEN(F16)=0, CONCATENATE(D16, "([""", C16, """])"), CONCATENATE(D16,"([""",params!$B$1, "&lt;a href=""", F16, """&gt;", C16, "&lt;/a&gt;""])")), ":::", E16)</f>
        <v>biconnected_component(["이중 연결 요소"]):::tier3</v>
      </c>
    </row>
    <row r="17" spans="1:7" ht="16.5" customHeight="1">
      <c r="A17" s="2" t="s">
        <v>18</v>
      </c>
      <c r="B17" s="2" t="str">
        <f t="shared" si="0"/>
        <v>양방향_탐색(bidirectional_search)</v>
      </c>
      <c r="C17" s="2" t="str">
        <f t="shared" si="1"/>
        <v>양방향 탐색</v>
      </c>
      <c r="D17" s="2" t="str">
        <f xml:space="preserve"> TRIM(RIGHT(SUBSTITUTE(A17," ",REPT(" ",100)),100))</f>
        <v>bidirectional_search</v>
      </c>
      <c r="E17" s="2" t="str">
        <f>_xlfn.CONCAT("tier", VLOOKUP(D17,tag_diff!$A:$BL,64,FALSE))</f>
        <v>tier3</v>
      </c>
      <c r="F17" s="3" t="str">
        <f>IFERROR(VLOOKUP(RIGHT(D17, LEN(D17) - 1),'post-link-extract'!$A:$E, 5, 0), "")</f>
        <v/>
      </c>
      <c r="G17" s="2" t="str">
        <f>_xlfn.CONCAT(IF(LEN(F17)=0, CONCATENATE(D17, "([""", C17, """])"), CONCATENATE(D17,"([""",params!$B$1, "&lt;a href=""", F17, """&gt;", C17, "&lt;/a&gt;""])")), ":::", E17)</f>
        <v>bidirectional_search(["양방향 탐색"]):::tier3</v>
      </c>
    </row>
    <row r="18" spans="1:7" ht="16.5" customHeight="1">
      <c r="A18" s="2" t="s">
        <v>19</v>
      </c>
      <c r="B18" s="2" t="str">
        <f t="shared" si="0"/>
        <v>이분_탐색(binary_search)</v>
      </c>
      <c r="C18" s="2" t="str">
        <f t="shared" si="1"/>
        <v>이분 탐색</v>
      </c>
      <c r="D18" s="2" t="str">
        <f xml:space="preserve"> TRIM(RIGHT(SUBSTITUTE(A18," ",REPT(" ",100)),100))</f>
        <v>binary_search</v>
      </c>
      <c r="E18" s="2" t="str">
        <f>_xlfn.CONCAT("tier", VLOOKUP(D18,tag_diff!$A:$BL,64,FALSE))</f>
        <v>tier2</v>
      </c>
      <c r="F18" s="3" t="str">
        <f>IFERROR(VLOOKUP(RIGHT(D18, LEN(D18) - 1),'post-link-extract'!$A:$E, 5, 0), "")</f>
        <v/>
      </c>
      <c r="G18" s="2" t="str">
        <f>_xlfn.CONCAT(IF(LEN(F18)=0, CONCATENATE(D18, "([""", C18, """])"), CONCATENATE(D18,"([""",params!$B$1, "&lt;a href=""", F18, """&gt;", C18, "&lt;/a&gt;""])")), ":::", E18)</f>
        <v>binary_search(["이분 탐색"]):::tier2</v>
      </c>
    </row>
    <row r="19" spans="1:7" ht="16.5" customHeight="1">
      <c r="A19" s="2" t="s">
        <v>20</v>
      </c>
      <c r="B19" s="2" t="str">
        <f t="shared" si="0"/>
        <v>이분_그래프(bipartite_graph)</v>
      </c>
      <c r="C19" s="2" t="str">
        <f t="shared" si="1"/>
        <v>이분 그래프</v>
      </c>
      <c r="D19" s="2" t="str">
        <f xml:space="preserve"> TRIM(RIGHT(SUBSTITUTE(A19," ",REPT(" ",100)),100))</f>
        <v>bipartite_graph</v>
      </c>
      <c r="E19" s="2" t="str">
        <f>_xlfn.CONCAT("tier", VLOOKUP(D19,tag_diff!$A:$BL,64,FALSE))</f>
        <v>tier2</v>
      </c>
      <c r="F19" s="3" t="str">
        <f>IFERROR(VLOOKUP(RIGHT(D19, LEN(D19) - 1),'post-link-extract'!$A:$E, 5, 0), "")</f>
        <v/>
      </c>
      <c r="G19" s="2" t="str">
        <f>_xlfn.CONCAT(IF(LEN(F19)=0, CONCATENATE(D19, "([""", C19, """])"), CONCATENATE(D19,"([""",params!$B$1, "&lt;a href=""", F19, """&gt;", C19, "&lt;/a&gt;""])")), ":::", E19)</f>
        <v>bipartite_graph(["이분 그래프"]):::tier2</v>
      </c>
    </row>
    <row r="20" spans="1:7" ht="16.5" customHeight="1">
      <c r="A20" s="2" t="s">
        <v>21</v>
      </c>
      <c r="B20" s="2" t="str">
        <f t="shared" si="0"/>
        <v>이분_매칭(bipartite_matching)</v>
      </c>
      <c r="C20" s="2" t="str">
        <f t="shared" si="1"/>
        <v>이분 매칭</v>
      </c>
      <c r="D20" s="2" t="str">
        <f xml:space="preserve"> TRIM(RIGHT(SUBSTITUTE(A20," ",REPT(" ",100)),100))</f>
        <v>bipartite_matching</v>
      </c>
      <c r="E20" s="2" t="str">
        <f>_xlfn.CONCAT("tier", VLOOKUP(D20,tag_diff!$A:$BL,64,FALSE))</f>
        <v>tier3</v>
      </c>
      <c r="F20" s="3" t="str">
        <f>IFERROR(VLOOKUP(RIGHT(D20, LEN(D20) - 1),'post-link-extract'!$A:$E, 5, 0), "")</f>
        <v/>
      </c>
      <c r="G20" s="2" t="str">
        <f>_xlfn.CONCAT(IF(LEN(F20)=0, CONCATENATE(D20, "([""", C20, """])"), CONCATENATE(D20,"([""",params!$B$1, "&lt;a href=""", F20, """&gt;", C20, "&lt;/a&gt;""])")), ":::", E20)</f>
        <v>bipartite_matching(["이분 매칭"]):::tier3</v>
      </c>
    </row>
    <row r="21" spans="1:7" ht="16.5" customHeight="1">
      <c r="A21" s="2" t="s">
        <v>22</v>
      </c>
      <c r="B21" s="2" t="str">
        <f t="shared" si="0"/>
        <v>생일_문제(birthday)</v>
      </c>
      <c r="C21" s="2" t="str">
        <f t="shared" si="1"/>
        <v>생일 문제</v>
      </c>
      <c r="D21" s="2" t="str">
        <f xml:space="preserve"> TRIM(RIGHT(SUBSTITUTE(A21," ",REPT(" ",100)),100))</f>
        <v>birthday</v>
      </c>
      <c r="E21" s="2" t="str">
        <f>_xlfn.CONCAT("tier", VLOOKUP(D21,tag_diff!$A:$BL,64,FALSE))</f>
        <v>tier2</v>
      </c>
      <c r="F21" s="3" t="str">
        <f>IFERROR(VLOOKUP(RIGHT(D21, LEN(D21) - 1),'post-link-extract'!$A:$E, 5, 0), "")</f>
        <v/>
      </c>
      <c r="G21" s="2" t="str">
        <f>_xlfn.CONCAT(IF(LEN(F21)=0, CONCATENATE(D21, "([""", C21, """])"), CONCATENATE(D21,"([""",params!$B$1, "&lt;a href=""", F21, """&gt;", C21, "&lt;/a&gt;""])")), ":::", E21)</f>
        <v>birthday(["생일 문제"]):::tier2</v>
      </c>
    </row>
    <row r="22" spans="1:7" ht="16.5" customHeight="1">
      <c r="A22" s="2" t="s">
        <v>23</v>
      </c>
      <c r="B22" s="2" t="str">
        <f t="shared" si="0"/>
        <v>비트마스킹(bitmask)</v>
      </c>
      <c r="C22" s="2" t="str">
        <f t="shared" si="1"/>
        <v>비트마스킹</v>
      </c>
      <c r="D22" s="2" t="str">
        <f xml:space="preserve"> TRIM(RIGHT(SUBSTITUTE(A22," ",REPT(" ",100)),100))</f>
        <v>bitmask</v>
      </c>
      <c r="E22" s="2" t="str">
        <f>_xlfn.CONCAT("tier", VLOOKUP(D22,tag_diff!$A:$BL,64,FALSE))</f>
        <v>tier2</v>
      </c>
      <c r="F22" s="3" t="str">
        <f>IFERROR(VLOOKUP(RIGHT(D22, LEN(D22) - 1),'post-link-extract'!$A:$E, 5, 0), "")</f>
        <v/>
      </c>
      <c r="G22" s="2" t="str">
        <f>_xlfn.CONCAT(IF(LEN(F22)=0, CONCATENATE(D22, "([""", C22, """])"), CONCATENATE(D22,"([""",params!$B$1, "&lt;a href=""", F22, """&gt;", C22, "&lt;/a&gt;""])")), ":::", E22)</f>
        <v>bitmask(["비트마스킹"]):::tier2</v>
      </c>
    </row>
    <row r="23" spans="1:7" ht="16.5" customHeight="1">
      <c r="A23" s="2" t="s">
        <v>24</v>
      </c>
      <c r="B23" s="2" t="str">
        <f t="shared" si="0"/>
        <v>비트_집합(bitset)</v>
      </c>
      <c r="C23" s="2" t="str">
        <f t="shared" si="1"/>
        <v>비트 집합</v>
      </c>
      <c r="D23" s="2" t="str">
        <f xml:space="preserve"> TRIM(RIGHT(SUBSTITUTE(A23," ",REPT(" ",100)),100))</f>
        <v>bitset</v>
      </c>
      <c r="E23" s="2" t="str">
        <f>_xlfn.CONCAT("tier", VLOOKUP(D23,tag_diff!$A:$BL,64,FALSE))</f>
        <v>tier3</v>
      </c>
      <c r="F23" s="3" t="str">
        <f>IFERROR(VLOOKUP(RIGHT(D23, LEN(D23) - 1),'post-link-extract'!$A:$E, 5, 0), "")</f>
        <v/>
      </c>
      <c r="G23" s="2" t="str">
        <f>_xlfn.CONCAT(IF(LEN(F23)=0, CONCATENATE(D23, "([""", C23, """])"), CONCATENATE(D23,"([""",params!$B$1, "&lt;a href=""", F23, """&gt;", C23, "&lt;/a&gt;""])")), ":::", E23)</f>
        <v>bitset(["비트 집합"]):::tier3</v>
      </c>
    </row>
    <row r="24" spans="1:7" ht="16.5" customHeight="1">
      <c r="A24" s="2" t="s">
        <v>25</v>
      </c>
      <c r="B24" s="2" t="str">
        <f t="shared" si="0"/>
        <v>브루트포스_알고리즘(bruteforcing)</v>
      </c>
      <c r="C24" s="2" t="str">
        <f t="shared" si="1"/>
        <v>브루트포스 알고리즘</v>
      </c>
      <c r="D24" s="2" t="str">
        <f xml:space="preserve"> TRIM(RIGHT(SUBSTITUTE(A24," ",REPT(" ",100)),100))</f>
        <v>bruteforcing</v>
      </c>
      <c r="E24" s="2" t="str">
        <f>_xlfn.CONCAT("tier", VLOOKUP(D24,tag_diff!$A:$BL,64,FALSE))</f>
        <v>tier1</v>
      </c>
      <c r="F24" s="3" t="str">
        <f>IFERROR(VLOOKUP(RIGHT(D24, LEN(D24) - 1),'post-link-extract'!$A:$E, 5, 0), "")</f>
        <v/>
      </c>
      <c r="G24" s="2" t="str">
        <f>_xlfn.CONCAT(IF(LEN(F24)=0, CONCATENATE(D24, "([""", C24, """])"), CONCATENATE(D24,"([""",params!$B$1, "&lt;a href=""", F24, """&gt;", C24, "&lt;/a&gt;""])")), ":::", E24)</f>
        <v>bruteforcing(["브루트포스 알고리즘"]):::tier1</v>
      </c>
    </row>
    <row r="25" spans="1:7" ht="16.5" customHeight="1">
      <c r="A25" s="2" t="s">
        <v>26</v>
      </c>
      <c r="B25" s="2" t="str">
        <f t="shared" si="0"/>
        <v>번사이드_보조정리(burnside)</v>
      </c>
      <c r="C25" s="2" t="str">
        <f t="shared" si="1"/>
        <v>번사이드 보조정리</v>
      </c>
      <c r="D25" s="2" t="str">
        <f xml:space="preserve"> TRIM(RIGHT(SUBSTITUTE(A25," ",REPT(" ",100)),100))</f>
        <v>burnside</v>
      </c>
      <c r="E25" s="2" t="str">
        <f>_xlfn.CONCAT("tier", VLOOKUP(D25,tag_diff!$A:$BL,64,FALSE))</f>
        <v>tier3</v>
      </c>
      <c r="F25" s="3" t="str">
        <f>IFERROR(VLOOKUP(RIGHT(D25, LEN(D25) - 1),'post-link-extract'!$A:$E, 5, 0), "")</f>
        <v/>
      </c>
      <c r="G25" s="2" t="str">
        <f>_xlfn.CONCAT(IF(LEN(F25)=0, CONCATENATE(D25, "([""", C25, """])"), CONCATENATE(D25,"([""",params!$B$1, "&lt;a href=""", F25, """&gt;", C25, "&lt;/a&gt;""])")), ":::", E25)</f>
        <v>burnside(["번사이드 보조정리"]):::tier3</v>
      </c>
    </row>
    <row r="26" spans="1:7" ht="16.5" customHeight="1">
      <c r="A26" s="2" t="s">
        <v>27</v>
      </c>
      <c r="B26" s="2" t="str">
        <f t="shared" si="0"/>
        <v>선인장(cactus)</v>
      </c>
      <c r="C26" s="2" t="str">
        <f t="shared" si="1"/>
        <v>선인장</v>
      </c>
      <c r="D26" s="2" t="str">
        <f xml:space="preserve"> TRIM(RIGHT(SUBSTITUTE(A26," ",REPT(" ",100)),100))</f>
        <v>cactus</v>
      </c>
      <c r="E26" s="2" t="str">
        <f>_xlfn.CONCAT("tier", VLOOKUP(D26,tag_diff!$A:$BL,64,FALSE))</f>
        <v>tier3</v>
      </c>
      <c r="F26" s="3" t="str">
        <f>IFERROR(VLOOKUP(RIGHT(D26, LEN(D26) - 1),'post-link-extract'!$A:$E, 5, 0), "")</f>
        <v/>
      </c>
      <c r="G26" s="2" t="str">
        <f>_xlfn.CONCAT(IF(LEN(F26)=0, CONCATENATE(D26, "([""", C26, """])"), CONCATENATE(D26,"([""",params!$B$1, "&lt;a href=""", F26, """&gt;", C26, "&lt;/a&gt;""])")), ":::", E26)</f>
        <v>cactus(["선인장"]):::tier3</v>
      </c>
    </row>
    <row r="27" spans="1:7" ht="16.5" customHeight="1">
      <c r="A27" s="2" t="s">
        <v>28</v>
      </c>
      <c r="B27" s="2" t="str">
        <f t="shared" si="0"/>
        <v>미적분학(calculus)</v>
      </c>
      <c r="C27" s="2" t="str">
        <f t="shared" si="1"/>
        <v>미적분학</v>
      </c>
      <c r="D27" s="2" t="str">
        <f xml:space="preserve"> TRIM(RIGHT(SUBSTITUTE(A27," ",REPT(" ",100)),100))</f>
        <v>calculus</v>
      </c>
      <c r="E27" s="2" t="str">
        <f>_xlfn.CONCAT("tier", VLOOKUP(D27,tag_diff!$A:$BL,64,FALSE))</f>
        <v>tier2</v>
      </c>
      <c r="F27" s="3" t="str">
        <f>IFERROR(VLOOKUP(RIGHT(D27, LEN(D27) - 1),'post-link-extract'!$A:$E, 5, 0), "")</f>
        <v/>
      </c>
      <c r="G27" s="2" t="str">
        <f>_xlfn.CONCAT(IF(LEN(F27)=0, CONCATENATE(D27, "([""", C27, """])"), CONCATENATE(D27,"([""",params!$B$1, "&lt;a href=""", F27, """&gt;", C27, "&lt;/a&gt;""])")), ":::", E27)</f>
        <v>calculus(["미적분학"]):::tier2</v>
      </c>
    </row>
    <row r="28" spans="1:7" ht="16.5" customHeight="1">
      <c r="A28" s="2" t="s">
        <v>29</v>
      </c>
      <c r="B28" s="2" t="str">
        <f t="shared" si="0"/>
        <v>데카르트_트리(cartesian_tree)</v>
      </c>
      <c r="C28" s="2" t="str">
        <f t="shared" si="1"/>
        <v>데카르트 트리</v>
      </c>
      <c r="D28" s="2" t="str">
        <f xml:space="preserve"> TRIM(RIGHT(SUBSTITUTE(A28," ",REPT(" ",100)),100))</f>
        <v>cartesian_tree</v>
      </c>
      <c r="E28" s="2" t="str">
        <f>_xlfn.CONCAT("tier", VLOOKUP(D28,tag_diff!$A:$BL,64,FALSE))</f>
        <v>tier4</v>
      </c>
      <c r="F28" s="3" t="str">
        <f>IFERROR(VLOOKUP(RIGHT(D28, LEN(D28) - 1),'post-link-extract'!$A:$E, 5, 0), "")</f>
        <v/>
      </c>
      <c r="G28" s="2" t="str">
        <f>_xlfn.CONCAT(IF(LEN(F28)=0, CONCATENATE(D28, "([""", C28, """])"), CONCATENATE(D28,"([""",params!$B$1, "&lt;a href=""", F28, """&gt;", C28, "&lt;/a&gt;""])")), ":::", E28)</f>
        <v>cartesian_tree(["데카르트 트리"]):::tier4</v>
      </c>
    </row>
    <row r="29" spans="1:7" ht="16.5" customHeight="1">
      <c r="A29" s="2" t="s">
        <v>30</v>
      </c>
      <c r="B29" s="2" t="str">
        <f t="shared" si="0"/>
        <v>많은_조건_분기(case_work)</v>
      </c>
      <c r="C29" s="2" t="str">
        <f t="shared" si="1"/>
        <v>많은 조건 분기</v>
      </c>
      <c r="D29" s="2" t="str">
        <f xml:space="preserve"> TRIM(RIGHT(SUBSTITUTE(A29," ",REPT(" ",100)),100))</f>
        <v>case_work</v>
      </c>
      <c r="E29" s="2" t="str">
        <f>_xlfn.CONCAT("tier", VLOOKUP(D29,tag_diff!$A:$BL,64,FALSE))</f>
        <v>tier1</v>
      </c>
      <c r="F29" s="3" t="str">
        <f>IFERROR(VLOOKUP(RIGHT(D29, LEN(D29) - 1),'post-link-extract'!$A:$E, 5, 0), "")</f>
        <v/>
      </c>
      <c r="G29" s="2" t="str">
        <f>_xlfn.CONCAT(IF(LEN(F29)=0, CONCATENATE(D29, "([""", C29, """])"), CONCATENATE(D29,"([""",params!$B$1, "&lt;a href=""", F29, """&gt;", C29, "&lt;/a&gt;""])")), ":::", E29)</f>
        <v>case_work(["많은 조건 분기"]):::tier1</v>
      </c>
    </row>
    <row r="30" spans="1:7" ht="16.5" customHeight="1">
      <c r="A30" s="2" t="s">
        <v>31</v>
      </c>
      <c r="B30" s="2" t="str">
        <f t="shared" si="0"/>
        <v>센트로이드(centroid)</v>
      </c>
      <c r="C30" s="2" t="str">
        <f t="shared" si="1"/>
        <v>센트로이드</v>
      </c>
      <c r="D30" s="2" t="str">
        <f xml:space="preserve"> TRIM(RIGHT(SUBSTITUTE(A30," ",REPT(" ",100)),100))</f>
        <v>centroid</v>
      </c>
      <c r="E30" s="2" t="str">
        <f>_xlfn.CONCAT("tier", VLOOKUP(D30,tag_diff!$A:$BL,64,FALSE))</f>
        <v>tier4</v>
      </c>
      <c r="F30" s="3" t="str">
        <f>IFERROR(VLOOKUP(RIGHT(D30, LEN(D30) - 1),'post-link-extract'!$A:$E, 5, 0), "")</f>
        <v/>
      </c>
      <c r="G30" s="2" t="str">
        <f>_xlfn.CONCAT(IF(LEN(F30)=0, CONCATENATE(D30, "([""", C30, """])"), CONCATENATE(D30,"([""",params!$B$1, "&lt;a href=""", F30, """&gt;", C30, "&lt;/a&gt;""])")), ":::", E30)</f>
        <v>centroid(["센트로이드"]):::tier4</v>
      </c>
    </row>
    <row r="31" spans="1:7" ht="16.5" customHeight="1">
      <c r="A31" s="2" t="s">
        <v>32</v>
      </c>
      <c r="B31" s="2" t="str">
        <f t="shared" si="0"/>
        <v>센트로이드_분할(centroid_decomposition)</v>
      </c>
      <c r="C31" s="2" t="str">
        <f t="shared" si="1"/>
        <v>센트로이드 분할</v>
      </c>
      <c r="D31" s="2" t="str">
        <f xml:space="preserve"> TRIM(RIGHT(SUBSTITUTE(A31," ",REPT(" ",100)),100))</f>
        <v>centroid_decomposition</v>
      </c>
      <c r="E31" s="2" t="str">
        <f>_xlfn.CONCAT("tier", VLOOKUP(D31,tag_diff!$A:$BL,64,FALSE))</f>
        <v>tier4</v>
      </c>
      <c r="F31" s="3" t="str">
        <f>IFERROR(VLOOKUP(RIGHT(D31, LEN(D31) - 1),'post-link-extract'!$A:$E, 5, 0), "")</f>
        <v/>
      </c>
      <c r="G31" s="2" t="str">
        <f>_xlfn.CONCAT(IF(LEN(F31)=0, CONCATENATE(D31, "([""", C31, """])"), CONCATENATE(D31,"([""",params!$B$1, "&lt;a href=""", F31, """&gt;", C31, "&lt;/a&gt;""])")), ":::", E31)</f>
        <v>centroid_decomposition(["센트로이드 분할"]):::tier4</v>
      </c>
    </row>
    <row r="32" spans="1:7" ht="16.5" customHeight="1">
      <c r="A32" s="2" t="s">
        <v>33</v>
      </c>
      <c r="B32" s="2" t="str">
        <f t="shared" si="0"/>
        <v>현_그래프(chordal_graph)</v>
      </c>
      <c r="C32" s="2" t="str">
        <f t="shared" si="1"/>
        <v>현 그래프</v>
      </c>
      <c r="D32" s="2" t="str">
        <f xml:space="preserve"> TRIM(RIGHT(SUBSTITUTE(A32," ",REPT(" ",100)),100))</f>
        <v>chordal_graph</v>
      </c>
      <c r="E32" s="2" t="str">
        <f>_xlfn.CONCAT("tier", VLOOKUP(D32,tag_diff!$A:$BL,64,FALSE))</f>
        <v>tier4</v>
      </c>
      <c r="F32" s="3" t="str">
        <f>IFERROR(VLOOKUP(RIGHT(D32, LEN(D32) - 1),'post-link-extract'!$A:$E, 5, 0), "")</f>
        <v/>
      </c>
      <c r="G32" s="2" t="str">
        <f>_xlfn.CONCAT(IF(LEN(F32)=0, CONCATENATE(D32, "([""", C32, """])"), CONCATENATE(D32,"([""",params!$B$1, "&lt;a href=""", F32, """&gt;", C32, "&lt;/a&gt;""])")), ":::", E32)</f>
        <v>chordal_graph(["현 그래프"]):::tier4</v>
      </c>
    </row>
    <row r="33" spans="1:7" ht="16.5" customHeight="1">
      <c r="A33" s="2" t="s">
        <v>34</v>
      </c>
      <c r="B33" s="2" t="str">
        <f t="shared" si="0"/>
        <v>볼록_껍질을_이용한_최적화(cht)</v>
      </c>
      <c r="C33" s="2" t="str">
        <f t="shared" si="1"/>
        <v>볼록 껍질을 이용한 최적화</v>
      </c>
      <c r="D33" s="2" t="str">
        <f xml:space="preserve"> TRIM(RIGHT(SUBSTITUTE(A33," ",REPT(" ",100)),100))</f>
        <v>cht</v>
      </c>
      <c r="E33" s="2" t="str">
        <f>_xlfn.CONCAT("tier", VLOOKUP(D33,tag_diff!$A:$BL,64,FALSE))</f>
        <v>tier3</v>
      </c>
      <c r="F33" s="3" t="str">
        <f>IFERROR(VLOOKUP(RIGHT(D33, LEN(D33) - 1),'post-link-extract'!$A:$E, 5, 0), "")</f>
        <v/>
      </c>
      <c r="G33" s="2" t="str">
        <f>_xlfn.CONCAT(IF(LEN(F33)=0, CONCATENATE(D33, "([""", C33, """])"), CONCATENATE(D33,"([""",params!$B$1, "&lt;a href=""", F33, """&gt;", C33, "&lt;/a&gt;""])")), ":::", E33)</f>
        <v>cht(["볼록 껍질을 이용한 최적화"]):::tier3</v>
      </c>
    </row>
    <row r="34" spans="1:7" ht="16.5" customHeight="1">
      <c r="A34" s="2" t="s">
        <v>35</v>
      </c>
      <c r="B34" s="2" t="str">
        <f t="shared" si="0"/>
        <v>서큘레이션(circulation)</v>
      </c>
      <c r="C34" s="2" t="str">
        <f t="shared" si="1"/>
        <v>서큘레이션</v>
      </c>
      <c r="D34" s="2" t="str">
        <f xml:space="preserve"> TRIM(RIGHT(SUBSTITUTE(A34," ",REPT(" ",100)),100))</f>
        <v>circulation</v>
      </c>
      <c r="E34" s="2" t="str">
        <f>_xlfn.CONCAT("tier", VLOOKUP(D34,tag_diff!$A:$BL,64,FALSE))</f>
        <v>tier4</v>
      </c>
      <c r="F34" s="3" t="str">
        <f>IFERROR(VLOOKUP(RIGHT(D34, LEN(D34) - 1),'post-link-extract'!$A:$E, 5, 0), "")</f>
        <v/>
      </c>
      <c r="G34" s="2" t="str">
        <f>_xlfn.CONCAT(IF(LEN(F34)=0, CONCATENATE(D34, "([""", C34, """])"), CONCATENATE(D34,"([""",params!$B$1, "&lt;a href=""", F34, """&gt;", C34, "&lt;/a&gt;""])")), ":::", E34)</f>
        <v>circulation(["서큘레이션"]):::tier4</v>
      </c>
    </row>
    <row r="35" spans="1:7" ht="16.5" customHeight="1">
      <c r="A35" s="2" t="s">
        <v>36</v>
      </c>
      <c r="B35" s="2" t="str">
        <f t="shared" si="0"/>
        <v>조합론(combinatorics)</v>
      </c>
      <c r="C35" s="2" t="str">
        <f t="shared" si="1"/>
        <v>조합론</v>
      </c>
      <c r="D35" s="2" t="str">
        <f xml:space="preserve"> TRIM(RIGHT(SUBSTITUTE(A35," ",REPT(" ",100)),100))</f>
        <v>combinatorics</v>
      </c>
      <c r="E35" s="2" t="str">
        <f>_xlfn.CONCAT("tier", VLOOKUP(D35,tag_diff!$A:$BL,64,FALSE))</f>
        <v>tier2</v>
      </c>
      <c r="F35" s="3" t="str">
        <f>IFERROR(VLOOKUP(RIGHT(D35, LEN(D35) - 1),'post-link-extract'!$A:$E, 5, 0), "")</f>
        <v/>
      </c>
      <c r="G35" s="2" t="str">
        <f>_xlfn.CONCAT(IF(LEN(F35)=0, CONCATENATE(D35, "([""", C35, """])"), CONCATENATE(D35,"([""",params!$B$1, "&lt;a href=""", F35, """&gt;", C35, "&lt;/a&gt;""])")), ":::", E35)</f>
        <v>combinatorics(["조합론"]):::tier2</v>
      </c>
    </row>
    <row r="36" spans="1:7" ht="16.5" customHeight="1">
      <c r="A36" s="2" t="s">
        <v>37</v>
      </c>
      <c r="B36" s="2" t="str">
        <f t="shared" si="0"/>
        <v>해_구성하기(constructive)</v>
      </c>
      <c r="C36" s="2" t="str">
        <f t="shared" si="1"/>
        <v>해 구성하기</v>
      </c>
      <c r="D36" s="2" t="str">
        <f xml:space="preserve"> TRIM(RIGHT(SUBSTITUTE(A36," ",REPT(" ",100)),100))</f>
        <v>constructive</v>
      </c>
      <c r="E36" s="2" t="str">
        <f>_xlfn.CONCAT("tier", VLOOKUP(D36,tag_diff!$A:$BL,64,FALSE))</f>
        <v>tier2</v>
      </c>
      <c r="F36" s="3" t="str">
        <f>IFERROR(VLOOKUP(RIGHT(D36, LEN(D36) - 1),'post-link-extract'!$A:$E, 5, 0), "")</f>
        <v/>
      </c>
      <c r="G36" s="2" t="str">
        <f>_xlfn.CONCAT(IF(LEN(F36)=0, CONCATENATE(D36, "([""", C36, """])"), CONCATENATE(D36,"([""",params!$B$1, "&lt;a href=""", F36, """&gt;", C36, "&lt;/a&gt;""])")), ":::", E36)</f>
        <v>constructive(["해 구성하기"]):::tier2</v>
      </c>
    </row>
    <row r="37" spans="1:7" ht="16.5" customHeight="1">
      <c r="A37" s="2" t="s">
        <v>38</v>
      </c>
      <c r="B37" s="2" t="str">
        <f t="shared" si="0"/>
        <v>볼록_껍질(convex_hull)</v>
      </c>
      <c r="C37" s="2" t="str">
        <f t="shared" si="1"/>
        <v>볼록 껍질</v>
      </c>
      <c r="D37" s="2" t="str">
        <f xml:space="preserve"> TRIM(RIGHT(SUBSTITUTE(A37," ",REPT(" ",100)),100))</f>
        <v>convex_hull</v>
      </c>
      <c r="E37" s="2" t="str">
        <f>_xlfn.CONCAT("tier", VLOOKUP(D37,tag_diff!$A:$BL,64,FALSE))</f>
        <v>tier3</v>
      </c>
      <c r="F37" s="3" t="str">
        <f>IFERROR(VLOOKUP(RIGHT(D37, LEN(D37) - 1),'post-link-extract'!$A:$E, 5, 0), "")</f>
        <v/>
      </c>
      <c r="G37" s="2" t="str">
        <f>_xlfn.CONCAT(IF(LEN(F37)=0, CONCATENATE(D37, "([""", C37, """])"), CONCATENATE(D37,"([""",params!$B$1, "&lt;a href=""", F37, """&gt;", C37, "&lt;/a&gt;""])")), ":::", E37)</f>
        <v>convex_hull(["볼록 껍질"]):::tier3</v>
      </c>
    </row>
    <row r="38" spans="1:7" ht="16.5" customHeight="1">
      <c r="A38" s="2" t="s">
        <v>39</v>
      </c>
      <c r="B38" s="2" t="str">
        <f t="shared" si="0"/>
        <v>값_/_좌표_압축(coordinate_compression)</v>
      </c>
      <c r="C38" s="2" t="str">
        <f t="shared" si="1"/>
        <v>값 / 좌표 압축</v>
      </c>
      <c r="D38" s="2" t="str">
        <f xml:space="preserve"> TRIM(RIGHT(SUBSTITUTE(A38," ",REPT(" ",100)),100))</f>
        <v>coordinate_compression</v>
      </c>
      <c r="E38" s="2" t="str">
        <f>_xlfn.CONCAT("tier", VLOOKUP(D38,tag_diff!$A:$BL,64,FALSE))</f>
        <v>tier2</v>
      </c>
      <c r="F38" s="3" t="str">
        <f>IFERROR(VLOOKUP(RIGHT(D38, LEN(D38) - 1),'post-link-extract'!$A:$E, 5, 0), "")</f>
        <v/>
      </c>
      <c r="G38" s="2" t="str">
        <f>_xlfn.CONCAT(IF(LEN(F38)=0, CONCATENATE(D38, "([""", C38, """])"), CONCATENATE(D38,"([""",params!$B$1, "&lt;a href=""", F38, """&gt;", C38, "&lt;/a&gt;""])")), ":::", E38)</f>
        <v>coordinate_compression(["값 / 좌표 압축"]):::tier2</v>
      </c>
    </row>
    <row r="39" spans="1:7" ht="16.5" customHeight="1">
      <c r="A39" s="2" t="s">
        <v>40</v>
      </c>
      <c r="B39" s="2" t="str">
        <f t="shared" si="0"/>
        <v>중국인의_나머지_정리(crt)</v>
      </c>
      <c r="C39" s="2" t="str">
        <f t="shared" si="1"/>
        <v>중국인의 나머지 정리</v>
      </c>
      <c r="D39" s="2" t="str">
        <f xml:space="preserve"> TRIM(RIGHT(SUBSTITUTE(A39," ",REPT(" ",100)),100))</f>
        <v>crt</v>
      </c>
      <c r="E39" s="2" t="str">
        <f>_xlfn.CONCAT("tier", VLOOKUP(D39,tag_diff!$A:$BL,64,FALSE))</f>
        <v>tier3</v>
      </c>
      <c r="F39" s="3" t="str">
        <f>IFERROR(VLOOKUP(RIGHT(D39, LEN(D39) - 1),'post-link-extract'!$A:$E, 5, 0), "")</f>
        <v/>
      </c>
      <c r="G39" s="2" t="str">
        <f>_xlfn.CONCAT(IF(LEN(F39)=0, CONCATENATE(D39, "([""", C39, """])"), CONCATENATE(D39,"([""",params!$B$1, "&lt;a href=""", F39, """&gt;", C39, "&lt;/a&gt;""])")), ":::", E39)</f>
        <v>crt(["중국인의 나머지 정리"]):::tier3</v>
      </c>
    </row>
    <row r="40" spans="1:7" ht="16.5" customHeight="1">
      <c r="A40" s="2" t="s">
        <v>41</v>
      </c>
      <c r="B40" s="2" t="str">
        <f t="shared" si="0"/>
        <v>방향_비순환_그래프(dag)</v>
      </c>
      <c r="C40" s="2" t="str">
        <f t="shared" si="1"/>
        <v>방향 비순환 그래프</v>
      </c>
      <c r="D40" s="2" t="str">
        <f xml:space="preserve"> TRIM(RIGHT(SUBSTITUTE(A40," ",REPT(" ",100)),100))</f>
        <v>dag</v>
      </c>
      <c r="E40" s="2" t="str">
        <f>_xlfn.CONCAT("tier", VLOOKUP(D40,tag_diff!$A:$BL,64,FALSE))</f>
        <v>tier2</v>
      </c>
      <c r="F40" s="3" t="str">
        <f>IFERROR(VLOOKUP(RIGHT(D40, LEN(D40) - 1),'post-link-extract'!$A:$E, 5, 0), "")</f>
        <v/>
      </c>
      <c r="G40" s="2" t="str">
        <f>_xlfn.CONCAT(IF(LEN(F40)=0, CONCATENATE(D40, "([""", C40, """])"), CONCATENATE(D40,"([""",params!$B$1, "&lt;a href=""", F40, """&gt;", C40, "&lt;/a&gt;""])")), ":::", E40)</f>
        <v>dag(["방향 비순환 그래프"]):::tier2</v>
      </c>
    </row>
    <row r="41" spans="1:7" ht="16.5" customHeight="1">
      <c r="A41" s="2" t="s">
        <v>42</v>
      </c>
      <c r="B41" s="2" t="str">
        <f t="shared" si="0"/>
        <v>춤추는_링크(dancing_links)</v>
      </c>
      <c r="C41" s="2" t="str">
        <f t="shared" si="1"/>
        <v>춤추는 링크</v>
      </c>
      <c r="D41" s="2" t="str">
        <f xml:space="preserve"> TRIM(RIGHT(SUBSTITUTE(A41," ",REPT(" ",100)),100))</f>
        <v>dancing_links</v>
      </c>
      <c r="E41" s="2" t="str">
        <f>_xlfn.CONCAT("tier", VLOOKUP(D41,tag_diff!$A:$BL,64,FALSE))</f>
        <v>tier4</v>
      </c>
      <c r="F41" s="3" t="str">
        <f>IFERROR(VLOOKUP(RIGHT(D41, LEN(D41) - 1),'post-link-extract'!$A:$E, 5, 0), "")</f>
        <v/>
      </c>
      <c r="G41" s="2" t="str">
        <f>_xlfn.CONCAT(IF(LEN(F41)=0, CONCATENATE(D41, "([""", C41, """])"), CONCATENATE(D41,"([""",params!$B$1, "&lt;a href=""", F41, """&gt;", C41, "&lt;/a&gt;""])")), ":::", E41)</f>
        <v>dancing_links(["춤추는 링크"]):::tier4</v>
      </c>
    </row>
    <row r="42" spans="1:7" ht="16.5" customHeight="1">
      <c r="A42" s="2" t="s">
        <v>43</v>
      </c>
      <c r="B42" s="2" t="str">
        <f t="shared" si="0"/>
        <v>자료_구조(data_structures)</v>
      </c>
      <c r="C42" s="2" t="str">
        <f t="shared" si="1"/>
        <v>자료 구조</v>
      </c>
      <c r="D42" s="2" t="str">
        <f xml:space="preserve"> TRIM(RIGHT(SUBSTITUTE(A42," ",REPT(" ",100)),100))</f>
        <v>data_structures</v>
      </c>
      <c r="E42" s="2" t="str">
        <f>_xlfn.CONCAT("tier", VLOOKUP(D42,tag_diff!$A:$BL,64,FALSE))</f>
        <v>tier2</v>
      </c>
      <c r="F42" s="3" t="str">
        <f>IFERROR(VLOOKUP(RIGHT(D42, LEN(D42) - 1),'post-link-extract'!$A:$E, 5, 0), "")</f>
        <v/>
      </c>
      <c r="G42" s="2" t="str">
        <f>_xlfn.CONCAT(IF(LEN(F42)=0, CONCATENATE(D42, "([""", C42, """])"), CONCATENATE(D42,"([""",params!$B$1, "&lt;a href=""", F42, """&gt;", C42, "&lt;/a&gt;""])")), ":::", E42)</f>
        <v>data_structures(["자료 구조"]):::tier2</v>
      </c>
    </row>
    <row r="43" spans="1:7" ht="16.5" customHeight="1">
      <c r="A43" s="2" t="s">
        <v>44</v>
      </c>
      <c r="B43" s="2" t="str">
        <f t="shared" si="0"/>
        <v>차수열(degree_sequence)</v>
      </c>
      <c r="C43" s="2" t="str">
        <f t="shared" si="1"/>
        <v>차수열</v>
      </c>
      <c r="D43" s="2" t="str">
        <f xml:space="preserve"> TRIM(RIGHT(SUBSTITUTE(A43," ",REPT(" ",100)),100))</f>
        <v>degree_sequence</v>
      </c>
      <c r="E43" s="2" t="str">
        <f>_xlfn.CONCAT("tier", VLOOKUP(D43,tag_diff!$A:$BL,64,FALSE))</f>
        <v>tier2</v>
      </c>
      <c r="F43" s="3" t="str">
        <f>IFERROR(VLOOKUP(RIGHT(D43, LEN(D43) - 1),'post-link-extract'!$A:$E, 5, 0), "")</f>
        <v/>
      </c>
      <c r="G43" s="2" t="str">
        <f>_xlfn.CONCAT(IF(LEN(F43)=0, CONCATENATE(D43, "([""", C43, """])"), CONCATENATE(D43,"([""",params!$B$1, "&lt;a href=""", F43, """&gt;", C43, "&lt;/a&gt;""])")), ":::", E43)</f>
        <v>degree_sequence(["차수열"]):::tier2</v>
      </c>
    </row>
    <row r="44" spans="1:7" ht="16.5" customHeight="1">
      <c r="A44" s="2" t="s">
        <v>45</v>
      </c>
      <c r="B44" s="2" t="str">
        <f t="shared" si="0"/>
        <v>델로네_삼각분할(delaunay)</v>
      </c>
      <c r="C44" s="2" t="str">
        <f t="shared" si="1"/>
        <v>델로네 삼각분할</v>
      </c>
      <c r="D44" s="2" t="str">
        <f xml:space="preserve"> TRIM(RIGHT(SUBSTITUTE(A44," ",REPT(" ",100)),100))</f>
        <v>delaunay</v>
      </c>
      <c r="E44" s="2" t="str">
        <f>_xlfn.CONCAT("tier", VLOOKUP(D44,tag_diff!$A:$BL,64,FALSE))</f>
        <v>tier5</v>
      </c>
      <c r="F44" s="3" t="str">
        <f>IFERROR(VLOOKUP(RIGHT(D44, LEN(D44) - 1),'post-link-extract'!$A:$E, 5, 0), "")</f>
        <v/>
      </c>
      <c r="G44" s="2" t="str">
        <f>_xlfn.CONCAT(IF(LEN(F44)=0, CONCATENATE(D44, "([""", C44, """])"), CONCATENATE(D44,"([""",params!$B$1, "&lt;a href=""", F44, """&gt;", C44, "&lt;/a&gt;""])")), ":::", E44)</f>
        <v>delaunay(["델로네 삼각분할"]):::tier5</v>
      </c>
    </row>
    <row r="45" spans="1:7" ht="16.5" customHeight="1">
      <c r="A45" s="2" t="s">
        <v>46</v>
      </c>
      <c r="B45" s="2" t="str">
        <f t="shared" si="0"/>
        <v>덱(deque)</v>
      </c>
      <c r="C45" s="2" t="str">
        <f t="shared" si="1"/>
        <v>덱</v>
      </c>
      <c r="D45" s="2" t="str">
        <f xml:space="preserve"> TRIM(RIGHT(SUBSTITUTE(A45," ",REPT(" ",100)),100))</f>
        <v>deque</v>
      </c>
      <c r="E45" s="2" t="str">
        <f>_xlfn.CONCAT("tier", VLOOKUP(D45,tag_diff!$A:$BL,64,FALSE))</f>
        <v>tier2</v>
      </c>
      <c r="F45" s="3" t="str">
        <f>IFERROR(VLOOKUP(RIGHT(D45, LEN(D45) - 1),'post-link-extract'!$A:$E, 5, 0), "")</f>
        <v/>
      </c>
      <c r="G45" s="2" t="str">
        <f>_xlfn.CONCAT(IF(LEN(F45)=0, CONCATENATE(D45, "([""", C45, """])"), CONCATENATE(D45,"([""",params!$B$1, "&lt;a href=""", F45, """&gt;", C45, "&lt;/a&gt;""])")), ":::", E45)</f>
        <v>deque(["덱"]):::tier2</v>
      </c>
    </row>
    <row r="46" spans="1:7" ht="16.5" customHeight="1">
      <c r="A46" s="2" t="s">
        <v>47</v>
      </c>
      <c r="B46" s="2" t="str">
        <f t="shared" si="0"/>
        <v>덱을_이용한_구간_최댓값_트릭(deque_trick)</v>
      </c>
      <c r="C46" s="2" t="str">
        <f t="shared" si="1"/>
        <v>덱을 이용한 구간 최댓값 트릭</v>
      </c>
      <c r="D46" s="2" t="str">
        <f xml:space="preserve"> TRIM(RIGHT(SUBSTITUTE(A46," ",REPT(" ",100)),100))</f>
        <v>deque_trick</v>
      </c>
      <c r="E46" s="2" t="str">
        <f>_xlfn.CONCAT("tier", VLOOKUP(D46,tag_diff!$A:$BL,64,FALSE))</f>
        <v>tier3</v>
      </c>
      <c r="F46" s="3" t="str">
        <f>IFERROR(VLOOKUP(RIGHT(D46, LEN(D46) - 1),'post-link-extract'!$A:$E, 5, 0), "")</f>
        <v/>
      </c>
      <c r="G46" s="2" t="str">
        <f>_xlfn.CONCAT(IF(LEN(F46)=0, CONCATENATE(D46, "([""", C46, """])"), CONCATENATE(D46,"([""",params!$B$1, "&lt;a href=""", F46, """&gt;", C46, "&lt;/a&gt;""])")), ":::", E46)</f>
        <v>deque_trick(["덱을 이용한 구간 최댓값 트릭"]):::tier3</v>
      </c>
    </row>
    <row r="47" spans="1:7" ht="16.5" customHeight="1">
      <c r="A47" s="2" t="s">
        <v>48</v>
      </c>
      <c r="B47" s="2" t="str">
        <f t="shared" si="0"/>
        <v>깊이_우선_탐색(dfs)</v>
      </c>
      <c r="C47" s="2" t="str">
        <f t="shared" si="1"/>
        <v>깊이 우선 탐색</v>
      </c>
      <c r="D47" s="2" t="str">
        <f xml:space="preserve"> TRIM(RIGHT(SUBSTITUTE(A47," ",REPT(" ",100)),100))</f>
        <v>dfs</v>
      </c>
      <c r="E47" s="2" t="str">
        <f>_xlfn.CONCAT("tier", VLOOKUP(D47,tag_diff!$A:$BL,64,FALSE))</f>
        <v>tier2</v>
      </c>
      <c r="F47" s="3" t="str">
        <f>IFERROR(VLOOKUP(RIGHT(D47, LEN(D47) - 1),'post-link-extract'!$A:$E, 5, 0), "")</f>
        <v/>
      </c>
      <c r="G47" s="2" t="str">
        <f>_xlfn.CONCAT(IF(LEN(F47)=0, CONCATENATE(D47, "([""", C47, """])"), CONCATENATE(D47,"([""",params!$B$1, "&lt;a href=""", F47, """&gt;", C47, "&lt;/a&gt;""])")), ":::", E47)</f>
        <v>dfs(["깊이 우선 탐색"]):::tier2</v>
      </c>
    </row>
    <row r="48" spans="1:7" ht="16.5" customHeight="1">
      <c r="A48" s="2" t="s">
        <v>49</v>
      </c>
      <c r="B48" s="2" t="str">
        <f t="shared" si="0"/>
        <v>차분_공격(differential_cryptanalysis)</v>
      </c>
      <c r="C48" s="2" t="str">
        <f t="shared" si="1"/>
        <v>차분 공격</v>
      </c>
      <c r="D48" s="2" t="str">
        <f xml:space="preserve"> TRIM(RIGHT(SUBSTITUTE(A48," ",REPT(" ",100)),100))</f>
        <v>differential_cryptanalysis</v>
      </c>
      <c r="E48" s="2" t="str">
        <f>_xlfn.CONCAT("tier", VLOOKUP(D48,tag_diff!$A:$BL,64,FALSE))</f>
        <v>tier1</v>
      </c>
      <c r="F48" s="3" t="str">
        <f>IFERROR(VLOOKUP(RIGHT(D48, LEN(D48) - 1),'post-link-extract'!$A:$E, 5, 0), "")</f>
        <v/>
      </c>
      <c r="G48" s="2" t="str">
        <f>_xlfn.CONCAT(IF(LEN(F48)=0, CONCATENATE(D48, "([""", C48, """])"), CONCATENATE(D48,"([""",params!$B$1, "&lt;a href=""", F48, """&gt;", C48, "&lt;/a&gt;""])")), ":::", E48)</f>
        <v>differential_cryptanalysis(["차분 공격"]):::tier1</v>
      </c>
    </row>
    <row r="49" spans="1:7" ht="16.5" customHeight="1">
      <c r="A49" s="2" t="s">
        <v>50</v>
      </c>
      <c r="B49" s="2" t="str">
        <f t="shared" si="0"/>
        <v>데이크스트라(dijkstra)</v>
      </c>
      <c r="C49" s="2" t="str">
        <f t="shared" si="1"/>
        <v>데이크스트라</v>
      </c>
      <c r="D49" s="2" t="str">
        <f xml:space="preserve"> TRIM(RIGHT(SUBSTITUTE(A49," ",REPT(" ",100)),100))</f>
        <v>dijkstra</v>
      </c>
      <c r="E49" s="2" t="str">
        <f>_xlfn.CONCAT("tier", VLOOKUP(D49,tag_diff!$A:$BL,64,FALSE))</f>
        <v>tier2</v>
      </c>
      <c r="F49" s="3" t="str">
        <f>IFERROR(VLOOKUP(RIGHT(D49, LEN(D49) - 1),'post-link-extract'!$A:$E, 5, 0), "")</f>
        <v/>
      </c>
      <c r="G49" s="2" t="str">
        <f>_xlfn.CONCAT(IF(LEN(F49)=0, CONCATENATE(D49, "([""", C49, """])"), CONCATENATE(D49,"([""",params!$B$1, "&lt;a href=""", F49, """&gt;", C49, "&lt;/a&gt;""])")), ":::", E49)</f>
        <v>dijkstra(["데이크스트라"]):::tier2</v>
      </c>
    </row>
    <row r="50" spans="1:7" ht="16.5" customHeight="1">
      <c r="A50" s="2" t="s">
        <v>51</v>
      </c>
      <c r="B50" s="2" t="str">
        <f t="shared" si="0"/>
        <v>유향_최소_신장_트리(directed_mst)</v>
      </c>
      <c r="C50" s="2" t="str">
        <f t="shared" si="1"/>
        <v>유향 최소 신장 트리</v>
      </c>
      <c r="D50" s="2" t="str">
        <f xml:space="preserve"> TRIM(RIGHT(SUBSTITUTE(A50," ",REPT(" ",100)),100))</f>
        <v>directed_mst</v>
      </c>
      <c r="E50" s="2" t="str">
        <f>_xlfn.CONCAT("tier", VLOOKUP(D50,tag_diff!$A:$BL,64,FALSE))</f>
        <v>tier4</v>
      </c>
      <c r="F50" s="3" t="str">
        <f>IFERROR(VLOOKUP(RIGHT(D50, LEN(D50) - 1),'post-link-extract'!$A:$E, 5, 0), "")</f>
        <v/>
      </c>
      <c r="G50" s="2" t="str">
        <f>_xlfn.CONCAT(IF(LEN(F50)=0, CONCATENATE(D50, "([""", C50, """])"), CONCATENATE(D50,"([""",params!$B$1, "&lt;a href=""", F50, """&gt;", C50, "&lt;/a&gt;""])")), ":::", E50)</f>
        <v>directed_mst(["유향 최소 신장 트리"]):::tier4</v>
      </c>
    </row>
    <row r="51" spans="1:7" ht="16.5" customHeight="1">
      <c r="A51" s="2" t="s">
        <v>52</v>
      </c>
      <c r="B51" s="2" t="str">
        <f t="shared" si="0"/>
        <v>이산_k제곱근(discrete_kth_root)</v>
      </c>
      <c r="C51" s="2" t="str">
        <f t="shared" si="1"/>
        <v>이산 k제곱근</v>
      </c>
      <c r="D51" s="2" t="str">
        <f xml:space="preserve"> TRIM(RIGHT(SUBSTITUTE(A51," ",REPT(" ",100)),100))</f>
        <v>discrete_kth_root</v>
      </c>
      <c r="E51" s="2" t="str">
        <f>_xlfn.CONCAT("tier", VLOOKUP(D51,tag_diff!$A:$BL,64,FALSE))</f>
        <v>tier3</v>
      </c>
      <c r="F51" s="3" t="str">
        <f>IFERROR(VLOOKUP(RIGHT(D51, LEN(D51) - 1),'post-link-extract'!$A:$E, 5, 0), "")</f>
        <v/>
      </c>
      <c r="G51" s="2" t="str">
        <f>_xlfn.CONCAT(IF(LEN(F51)=0, CONCATENATE(D51, "([""", C51, """])"), CONCATENATE(D51,"([""",params!$B$1, "&lt;a href=""", F51, """&gt;", C51, "&lt;/a&gt;""])")), ":::", E51)</f>
        <v>discrete_kth_root(["이산 k제곱근"]):::tier3</v>
      </c>
    </row>
    <row r="52" spans="1:7" ht="16.5" customHeight="1">
      <c r="A52" s="2" t="s">
        <v>53</v>
      </c>
      <c r="B52" s="2" t="str">
        <f t="shared" si="0"/>
        <v>이산_로그(discrete_log)</v>
      </c>
      <c r="C52" s="2" t="str">
        <f t="shared" si="1"/>
        <v>이산 로그</v>
      </c>
      <c r="D52" s="2" t="str">
        <f xml:space="preserve"> TRIM(RIGHT(SUBSTITUTE(A52," ",REPT(" ",100)),100))</f>
        <v>discrete_log</v>
      </c>
      <c r="E52" s="2" t="str">
        <f>_xlfn.CONCAT("tier", VLOOKUP(D52,tag_diff!$A:$BL,64,FALSE))</f>
        <v>tier4</v>
      </c>
      <c r="F52" s="3" t="str">
        <f>IFERROR(VLOOKUP(RIGHT(D52, LEN(D52) - 1),'post-link-extract'!$A:$E, 5, 0), "")</f>
        <v/>
      </c>
      <c r="G52" s="2" t="str">
        <f>_xlfn.CONCAT(IF(LEN(F52)=0, CONCATENATE(D52, "([""", C52, """])"), CONCATENATE(D52,"([""",params!$B$1, "&lt;a href=""", F52, """&gt;", C52, "&lt;/a&gt;""])")), ":::", E52)</f>
        <v>discrete_log(["이산 로그"]):::tier4</v>
      </c>
    </row>
    <row r="53" spans="1:7" ht="16.5" customHeight="1">
      <c r="A53" s="2" t="s">
        <v>54</v>
      </c>
      <c r="B53" s="2" t="str">
        <f t="shared" si="0"/>
        <v>이산_제곱근(discrete_sqrt)</v>
      </c>
      <c r="C53" s="2" t="str">
        <f t="shared" si="1"/>
        <v>이산 제곱근</v>
      </c>
      <c r="D53" s="2" t="str">
        <f xml:space="preserve"> TRIM(RIGHT(SUBSTITUTE(A53," ",REPT(" ",100)),100))</f>
        <v>discrete_sqrt</v>
      </c>
      <c r="E53" s="2" t="str">
        <f>_xlfn.CONCAT("tier", VLOOKUP(D53,tag_diff!$A:$BL,64,FALSE))</f>
        <v>tier4</v>
      </c>
      <c r="F53" s="3" t="str">
        <f>IFERROR(VLOOKUP(RIGHT(D53, LEN(D53) - 1),'post-link-extract'!$A:$E, 5, 0), "")</f>
        <v/>
      </c>
      <c r="G53" s="2" t="str">
        <f>_xlfn.CONCAT(IF(LEN(F53)=0, CONCATENATE(D53, "([""", C53, """])"), CONCATENATE(D53,"([""",params!$B$1, "&lt;a href=""", F53, """&gt;", C53, "&lt;/a&gt;""])")), ":::", E53)</f>
        <v>discrete_sqrt(["이산 제곱근"]):::tier4</v>
      </c>
    </row>
    <row r="54" spans="1:7" ht="16.5" customHeight="1">
      <c r="A54" s="2" t="s">
        <v>55</v>
      </c>
      <c r="B54" s="2" t="str">
        <f t="shared" si="0"/>
        <v>분리_집합(disjoint_set)</v>
      </c>
      <c r="C54" s="2" t="str">
        <f t="shared" si="1"/>
        <v>분리 집합</v>
      </c>
      <c r="D54" s="2" t="str">
        <f xml:space="preserve"> TRIM(RIGHT(SUBSTITUTE(A54," ",REPT(" ",100)),100))</f>
        <v>disjoint_set</v>
      </c>
      <c r="E54" s="2" t="str">
        <f>_xlfn.CONCAT("tier", VLOOKUP(D54,tag_diff!$A:$BL,64,FALSE))</f>
        <v>tier2</v>
      </c>
      <c r="F54" s="3" t="str">
        <f>IFERROR(VLOOKUP(RIGHT(D54, LEN(D54) - 1),'post-link-extract'!$A:$E, 5, 0), "")</f>
        <v/>
      </c>
      <c r="G54" s="2" t="str">
        <f>_xlfn.CONCAT(IF(LEN(F54)=0, CONCATENATE(D54, "([""", C54, """])"), CONCATENATE(D54,"([""",params!$B$1, "&lt;a href=""", F54, """&gt;", C54, "&lt;/a&gt;""])")), ":::", E54)</f>
        <v>disjoint_set(["분리 집합"]):::tier2</v>
      </c>
    </row>
    <row r="55" spans="1:7" ht="16.5" customHeight="1">
      <c r="A55" s="2" t="s">
        <v>56</v>
      </c>
      <c r="B55" s="2" t="str">
        <f t="shared" si="0"/>
        <v>분할_정복(divide_and_conquer)</v>
      </c>
      <c r="C55" s="2" t="str">
        <f t="shared" si="1"/>
        <v>분할 정복</v>
      </c>
      <c r="D55" s="2" t="str">
        <f xml:space="preserve"> TRIM(RIGHT(SUBSTITUTE(A55," ",REPT(" ",100)),100))</f>
        <v>divide_and_conquer</v>
      </c>
      <c r="E55" s="2" t="str">
        <f>_xlfn.CONCAT("tier", VLOOKUP(D55,tag_diff!$A:$BL,64,FALSE))</f>
        <v>tier3</v>
      </c>
      <c r="F55" s="3" t="str">
        <f>IFERROR(VLOOKUP(RIGHT(D55, LEN(D55) - 1),'post-link-extract'!$A:$E, 5, 0), "")</f>
        <v/>
      </c>
      <c r="G55" s="2" t="str">
        <f>_xlfn.CONCAT(IF(LEN(F55)=0, CONCATENATE(D55, "([""", C55, """])"), CONCATENATE(D55,"([""",params!$B$1, "&lt;a href=""", F55, """&gt;", C55, "&lt;/a&gt;""])")), ":::", E55)</f>
        <v>divide_and_conquer(["분할 정복"]):::tier3</v>
      </c>
    </row>
    <row r="56" spans="1:7" ht="16.5" customHeight="1">
      <c r="A56" s="2" t="s">
        <v>57</v>
      </c>
      <c r="B56" s="2" t="str">
        <f t="shared" si="0"/>
        <v>분할_정복을_사용한_최적화(divide_and_conquer_optimization)</v>
      </c>
      <c r="C56" s="2" t="str">
        <f t="shared" si="1"/>
        <v>분할 정복을 사용한 최적화</v>
      </c>
      <c r="D56" s="2" t="str">
        <f xml:space="preserve"> TRIM(RIGHT(SUBSTITUTE(A56," ",REPT(" ",100)),100))</f>
        <v>divide_and_conquer_optimization</v>
      </c>
      <c r="E56" s="2" t="str">
        <f>_xlfn.CONCAT("tier", VLOOKUP(D56,tag_diff!$A:$BL,64,FALSE))</f>
        <v>tier4</v>
      </c>
      <c r="F56" s="3" t="str">
        <f>IFERROR(VLOOKUP(RIGHT(D56, LEN(D56) - 1),'post-link-extract'!$A:$E, 5, 0), "")</f>
        <v/>
      </c>
      <c r="G56" s="2" t="str">
        <f>_xlfn.CONCAT(IF(LEN(F56)=0, CONCATENATE(D56, "([""", C56, """])"), CONCATENATE(D56,"([""",params!$B$1, "&lt;a href=""", F56, """&gt;", C56, "&lt;/a&gt;""])")), ":::", E56)</f>
        <v>divide_and_conquer_optimization(["분할 정복을 사용한 최적화"]):::tier4</v>
      </c>
    </row>
    <row r="57" spans="1:7" ht="16.5" customHeight="1">
      <c r="A57" s="2" t="s">
        <v>58</v>
      </c>
      <c r="B57" s="2" t="str">
        <f t="shared" si="0"/>
        <v>도미네이터_트리(dominator_tree)</v>
      </c>
      <c r="C57" s="2" t="str">
        <f t="shared" si="1"/>
        <v>도미네이터 트리</v>
      </c>
      <c r="D57" s="2" t="str">
        <f xml:space="preserve"> TRIM(RIGHT(SUBSTITUTE(A57," ",REPT(" ",100)),100))</f>
        <v>dominator_tree</v>
      </c>
      <c r="E57" s="2" t="str">
        <f>_xlfn.CONCAT("tier", VLOOKUP(D57,tag_diff!$A:$BL,64,FALSE))</f>
        <v>tier4</v>
      </c>
      <c r="F57" s="3" t="str">
        <f>IFERROR(VLOOKUP(RIGHT(D57, LEN(D57) - 1),'post-link-extract'!$A:$E, 5, 0), "")</f>
        <v/>
      </c>
      <c r="G57" s="2" t="str">
        <f>_xlfn.CONCAT(IF(LEN(F57)=0, CONCATENATE(D57, "([""", C57, """])"), CONCATENATE(D57,"([""",params!$B$1, "&lt;a href=""", F57, """&gt;", C57, "&lt;/a&gt;""])")), ":::", E57)</f>
        <v>dominator_tree(["도미네이터 트리"]):::tier4</v>
      </c>
    </row>
    <row r="58" spans="1:7" ht="16.5" customHeight="1">
      <c r="A58" s="2" t="s">
        <v>59</v>
      </c>
      <c r="B58" s="2" t="str">
        <f t="shared" si="0"/>
        <v>다이나믹_프로그래밍(dp)</v>
      </c>
      <c r="C58" s="2" t="str">
        <f t="shared" si="1"/>
        <v>다이나믹 프로그래밍</v>
      </c>
      <c r="D58" s="2" t="str">
        <f xml:space="preserve"> TRIM(RIGHT(SUBSTITUTE(A58," ",REPT(" ",100)),100))</f>
        <v>dp</v>
      </c>
      <c r="E58" s="2" t="str">
        <f>_xlfn.CONCAT("tier", VLOOKUP(D58,tag_diff!$A:$BL,64,FALSE))</f>
        <v>tier2</v>
      </c>
      <c r="F58" s="3" t="str">
        <f>IFERROR(VLOOKUP(RIGHT(D58, LEN(D58) - 1),'post-link-extract'!$A:$E, 5, 0), "")</f>
        <v/>
      </c>
      <c r="G58" s="2" t="str">
        <f>_xlfn.CONCAT(IF(LEN(F58)=0, CONCATENATE(D58, "([""", C58, """])"), CONCATENATE(D58,"([""",params!$B$1, "&lt;a href=""", F58, """&gt;", C58, "&lt;/a&gt;""])")), ":::", E58)</f>
        <v>dp(["다이나믹 프로그래밍"]):::tier2</v>
      </c>
    </row>
    <row r="59" spans="1:7" ht="16.5" customHeight="1">
      <c r="A59" s="2" t="s">
        <v>60</v>
      </c>
      <c r="B59" s="2" t="str">
        <f t="shared" si="0"/>
        <v>비트필드를_이용한_다이나믹_프로그래밍(dp_bitfield)</v>
      </c>
      <c r="C59" s="2" t="str">
        <f t="shared" si="1"/>
        <v>비트필드를 이용한 다이나믹 프로그래밍</v>
      </c>
      <c r="D59" s="2" t="str">
        <f xml:space="preserve"> TRIM(RIGHT(SUBSTITUTE(A59," ",REPT(" ",100)),100))</f>
        <v>dp_bitfield</v>
      </c>
      <c r="E59" s="2" t="str">
        <f>_xlfn.CONCAT("tier", VLOOKUP(D59,tag_diff!$A:$BL,64,FALSE))</f>
        <v>tier3</v>
      </c>
      <c r="F59" s="3" t="str">
        <f>IFERROR(VLOOKUP(RIGHT(D59, LEN(D59) - 1),'post-link-extract'!$A:$E, 5, 0), "")</f>
        <v/>
      </c>
      <c r="G59" s="2" t="str">
        <f>_xlfn.CONCAT(IF(LEN(F59)=0, CONCATENATE(D59, "([""", C59, """])"), CONCATENATE(D59,"([""",params!$B$1, "&lt;a href=""", F59, """&gt;", C59, "&lt;/a&gt;""])")), ":::", E59)</f>
        <v>dp_bitfield(["비트필드를 이용한 다이나믹 프로그래밍"]):::tier3</v>
      </c>
    </row>
    <row r="60" spans="1:7" ht="16.5" customHeight="1">
      <c r="A60" s="2" t="s">
        <v>61</v>
      </c>
      <c r="B60" s="2" t="str">
        <f t="shared" si="0"/>
        <v>커넥션_프로파일을_이용한_다이나믹_프로그래밍(dp_connection_profile)</v>
      </c>
      <c r="C60" s="2" t="str">
        <f t="shared" si="1"/>
        <v>커넥션 프로파일을 이용한 다이나믹 프로그래밍</v>
      </c>
      <c r="D60" s="2" t="str">
        <f xml:space="preserve"> TRIM(RIGHT(SUBSTITUTE(A60," ",REPT(" ",100)),100))</f>
        <v>dp_connection_profile</v>
      </c>
      <c r="E60" s="2" t="str">
        <f>_xlfn.CONCAT("tier", VLOOKUP(D60,tag_diff!$A:$BL,64,FALSE))</f>
        <v>tier4</v>
      </c>
      <c r="F60" s="3" t="str">
        <f>IFERROR(VLOOKUP(RIGHT(D60, LEN(D60) - 1),'post-link-extract'!$A:$E, 5, 0), "")</f>
        <v/>
      </c>
      <c r="G60" s="2" t="str">
        <f>_xlfn.CONCAT(IF(LEN(F60)=0, CONCATENATE(D60, "([""", C60, """])"), CONCATENATE(D60,"([""",params!$B$1, "&lt;a href=""", F60, """&gt;", C60, "&lt;/a&gt;""])")), ":::", E60)</f>
        <v>dp_connection_profile(["커넥션 프로파일을 이용한 다이나믹 프로그래밍"]):::tier4</v>
      </c>
    </row>
    <row r="61" spans="1:7" ht="16.5" customHeight="1">
      <c r="A61" s="2" t="s">
        <v>62</v>
      </c>
      <c r="B61" s="2" t="str">
        <f t="shared" si="0"/>
        <v>덱을_이용한_다이나믹_프로그래밍(dp_deque)</v>
      </c>
      <c r="C61" s="2" t="str">
        <f t="shared" si="1"/>
        <v>덱을 이용한 다이나믹 프로그래밍</v>
      </c>
      <c r="D61" s="2" t="str">
        <f xml:space="preserve"> TRIM(RIGHT(SUBSTITUTE(A61," ",REPT(" ",100)),100))</f>
        <v>dp_deque</v>
      </c>
      <c r="E61" s="2" t="str">
        <f>_xlfn.CONCAT("tier", VLOOKUP(D61,tag_diff!$A:$BL,64,FALSE))</f>
        <v>tier3</v>
      </c>
      <c r="F61" s="3" t="str">
        <f>IFERROR(VLOOKUP(RIGHT(D61, LEN(D61) - 1),'post-link-extract'!$A:$E, 5, 0), "")</f>
        <v/>
      </c>
      <c r="G61" s="2" t="str">
        <f>_xlfn.CONCAT(IF(LEN(F61)=0, CONCATENATE(D61, "([""", C61, """])"), CONCATENATE(D61,"([""",params!$B$1, "&lt;a href=""", F61, """&gt;", C61, "&lt;/a&gt;""])")), ":::", E61)</f>
        <v>dp_deque(["덱을 이용한 다이나믹 프로그래밍"]):::tier3</v>
      </c>
    </row>
    <row r="62" spans="1:7" ht="16.5" customHeight="1">
      <c r="A62" s="2" t="s">
        <v>63</v>
      </c>
      <c r="B62" s="2" t="str">
        <f t="shared" si="0"/>
        <v>자릿수를_이용한_다이나믹_프로그래밍(dp_digit)</v>
      </c>
      <c r="C62" s="2" t="str">
        <f t="shared" si="1"/>
        <v>자릿수를 이용한 다이나믹 프로그래밍</v>
      </c>
      <c r="D62" s="2" t="str">
        <f xml:space="preserve"> TRIM(RIGHT(SUBSTITUTE(A62," ",REPT(" ",100)),100))</f>
        <v>dp_digit</v>
      </c>
      <c r="E62" s="2" t="str">
        <f>_xlfn.CONCAT("tier", VLOOKUP(D62,tag_diff!$A:$BL,64,FALSE))</f>
        <v>tier3</v>
      </c>
      <c r="F62" s="3" t="str">
        <f>IFERROR(VLOOKUP(RIGHT(D62, LEN(D62) - 1),'post-link-extract'!$A:$E, 5, 0), "")</f>
        <v/>
      </c>
      <c r="G62" s="2" t="str">
        <f>_xlfn.CONCAT(IF(LEN(F62)=0, CONCATENATE(D62, "([""", C62, """])"), CONCATENATE(D62,"([""",params!$B$1, "&lt;a href=""", F62, """&gt;", C62, "&lt;/a&gt;""])")), ":::", E62)</f>
        <v>dp_digit(["자릿수를 이용한 다이나믹 프로그래밍"]):::tier3</v>
      </c>
    </row>
    <row r="63" spans="1:7" ht="16.5" customHeight="1">
      <c r="A63" s="2" t="s">
        <v>64</v>
      </c>
      <c r="B63" s="2" t="str">
        <f t="shared" si="0"/>
        <v>부분집합의_합_다이나믹_프로그래밍(dp_sum_over_subsets)</v>
      </c>
      <c r="C63" s="2" t="str">
        <f t="shared" si="1"/>
        <v>부분집합의 합 다이나믹 프로그래밍</v>
      </c>
      <c r="D63" s="2" t="str">
        <f xml:space="preserve"> TRIM(RIGHT(SUBSTITUTE(A63," ",REPT(" ",100)),100))</f>
        <v>dp_sum_over_subsets</v>
      </c>
      <c r="E63" s="2" t="str">
        <f>_xlfn.CONCAT("tier", VLOOKUP(D63,tag_diff!$A:$BL,64,FALSE))</f>
        <v>tier4</v>
      </c>
      <c r="F63" s="3" t="str">
        <f>IFERROR(VLOOKUP(RIGHT(D63, LEN(D63) - 1),'post-link-extract'!$A:$E, 5, 0), "")</f>
        <v/>
      </c>
      <c r="G63" s="2" t="str">
        <f>_xlfn.CONCAT(IF(LEN(F63)=0, CONCATENATE(D63, "([""", C63, """])"), CONCATENATE(D63,"([""",params!$B$1, "&lt;a href=""", F63, """&gt;", C63, "&lt;/a&gt;""])")), ":::", E63)</f>
        <v>dp_sum_over_subsets(["부분집합의 합 다이나믹 프로그래밍"]):::tier4</v>
      </c>
    </row>
    <row r="64" spans="1:7" ht="16.5" customHeight="1">
      <c r="A64" s="2" t="s">
        <v>65</v>
      </c>
      <c r="B64" s="2" t="str">
        <f t="shared" si="0"/>
        <v>트리에서의_다이나믹_프로그래밍(dp_tree)</v>
      </c>
      <c r="C64" s="2" t="str">
        <f t="shared" si="1"/>
        <v>트리에서의 다이나믹 프로그래밍</v>
      </c>
      <c r="D64" s="2" t="str">
        <f xml:space="preserve"> TRIM(RIGHT(SUBSTITUTE(A64," ",REPT(" ",100)),100))</f>
        <v>dp_tree</v>
      </c>
      <c r="E64" s="2" t="str">
        <f>_xlfn.CONCAT("tier", VLOOKUP(D64,tag_diff!$A:$BL,64,FALSE))</f>
        <v>tier3</v>
      </c>
      <c r="F64" s="3" t="str">
        <f>IFERROR(VLOOKUP(RIGHT(D64, LEN(D64) - 1),'post-link-extract'!$A:$E, 5, 0), "")</f>
        <v/>
      </c>
      <c r="G64" s="2" t="str">
        <f>_xlfn.CONCAT(IF(LEN(F64)=0, CONCATENATE(D64, "([""", C64, """])"), CONCATENATE(D64,"([""",params!$B$1, "&lt;a href=""", F64, """&gt;", C64, "&lt;/a&gt;""])")), ":::", E64)</f>
        <v>dp_tree(["트리에서의 다이나믹 프로그래밍"]):::tier3</v>
      </c>
    </row>
    <row r="65" spans="1:7" ht="16.5" customHeight="1">
      <c r="A65" s="2" t="s">
        <v>66</v>
      </c>
      <c r="B65" s="2" t="str">
        <f t="shared" si="0"/>
        <v>쌍대_그래프(dual_graph)</v>
      </c>
      <c r="C65" s="2" t="str">
        <f t="shared" si="1"/>
        <v>쌍대 그래프</v>
      </c>
      <c r="D65" s="2" t="str">
        <f xml:space="preserve"> TRIM(RIGHT(SUBSTITUTE(A65," ",REPT(" ",100)),100))</f>
        <v>dual_graph</v>
      </c>
      <c r="E65" s="2" t="str">
        <f>_xlfn.CONCAT("tier", VLOOKUP(D65,tag_diff!$A:$BL,64,FALSE))</f>
        <v>tier4</v>
      </c>
      <c r="F65" s="3" t="str">
        <f>IFERROR(VLOOKUP(RIGHT(D65, LEN(D65) - 1),'post-link-extract'!$A:$E, 5, 0), "")</f>
        <v/>
      </c>
      <c r="G65" s="2" t="str">
        <f>_xlfn.CONCAT(IF(LEN(F65)=0, CONCATENATE(D65, "([""", C65, """])"), CONCATENATE(D65,"([""",params!$B$1, "&lt;a href=""", F65, """&gt;", C65, "&lt;/a&gt;""])")), ":::", E65)</f>
        <v>dual_graph(["쌍대 그래프"]):::tier4</v>
      </c>
    </row>
    <row r="66" spans="1:7" ht="16.5" customHeight="1">
      <c r="A66" s="2" t="s">
        <v>67</v>
      </c>
      <c r="B66" s="2" t="str">
        <f t="shared" si="0"/>
        <v>쌍대성(duality)</v>
      </c>
      <c r="C66" s="2" t="str">
        <f t="shared" si="1"/>
        <v>쌍대성</v>
      </c>
      <c r="D66" s="2" t="str">
        <f xml:space="preserve"> TRIM(RIGHT(SUBSTITUTE(A66," ",REPT(" ",100)),100))</f>
        <v>duality</v>
      </c>
      <c r="E66" s="2" t="str">
        <f>_xlfn.CONCAT("tier", VLOOKUP(D66,tag_diff!$A:$BL,64,FALSE))</f>
        <v>tier4</v>
      </c>
      <c r="F66" s="3" t="str">
        <f>IFERROR(VLOOKUP(RIGHT(D66, LEN(D66) - 1),'post-link-extract'!$A:$E, 5, 0), "")</f>
        <v/>
      </c>
      <c r="G66" s="2" t="str">
        <f>_xlfn.CONCAT(IF(LEN(F66)=0, CONCATENATE(D66, "([""", C66, """])"), CONCATENATE(D66,"([""",params!$B$1, "&lt;a href=""", F66, """&gt;", C66, "&lt;/a&gt;""])")), ":::", E66)</f>
        <v>duality(["쌍대성"]):::tier4</v>
      </c>
    </row>
    <row r="67" spans="1:7" ht="16.5" customHeight="1">
      <c r="A67" s="2" t="s">
        <v>68</v>
      </c>
      <c r="B67" s="2" t="str">
        <f t="shared" ref="B67:B130" si="2">_xlfn.CONCAT(SUBSTITUTE(C67, " ", "_"),"(",D67,")")</f>
        <v>유클리드_호제법(euclidean)</v>
      </c>
      <c r="C67" s="2" t="str">
        <f t="shared" ref="C67:C130" si="3">MID(A67, 2, LEN(A67) - LEN(D67) - 2)</f>
        <v>유클리드 호제법</v>
      </c>
      <c r="D67" s="2" t="str">
        <f xml:space="preserve"> TRIM(RIGHT(SUBSTITUTE(A67," ",REPT(" ",100)),100))</f>
        <v>euclidean</v>
      </c>
      <c r="E67" s="2" t="str">
        <f>_xlfn.CONCAT("tier", VLOOKUP(D67,tag_diff!$A:$BL,64,FALSE))</f>
        <v>tier1</v>
      </c>
      <c r="F67" s="3" t="str">
        <f>IFERROR(VLOOKUP(RIGHT(D67, LEN(D67) - 1),'post-link-extract'!$A:$E, 5, 0), "")</f>
        <v/>
      </c>
      <c r="G67" s="2" t="str">
        <f>_xlfn.CONCAT(IF(LEN(F67)=0, CONCATENATE(D67, "([""", C67, """])"), CONCATENATE(D67,"([""",params!$B$1, "&lt;a href=""", F67, """&gt;", C67, "&lt;/a&gt;""])")), ":::", E67)</f>
        <v>euclidean(["유클리드 호제법"]):::tier1</v>
      </c>
    </row>
    <row r="68" spans="1:7" ht="16.5" customHeight="1">
      <c r="A68" s="2" t="s">
        <v>69</v>
      </c>
      <c r="B68" s="2" t="str">
        <f t="shared" si="2"/>
        <v>오일러_지표_(χ=V-E+F)(euler_characteristic)</v>
      </c>
      <c r="C68" s="2" t="str">
        <f t="shared" si="3"/>
        <v>오일러 지표 (χ=V-E+F)</v>
      </c>
      <c r="D68" s="2" t="str">
        <f xml:space="preserve"> TRIM(RIGHT(SUBSTITUTE(A68," ",REPT(" ",100)),100))</f>
        <v>euler_characteristic</v>
      </c>
      <c r="E68" s="2" t="str">
        <f>_xlfn.CONCAT("tier", VLOOKUP(D68,tag_diff!$A:$BL,64,FALSE))</f>
        <v>tier3</v>
      </c>
      <c r="F68" s="3" t="str">
        <f>IFERROR(VLOOKUP(RIGHT(D68, LEN(D68) - 1),'post-link-extract'!$A:$E, 5, 0), "")</f>
        <v/>
      </c>
      <c r="G68" s="2" t="str">
        <f>_xlfn.CONCAT(IF(LEN(F68)=0, CONCATENATE(D68, "([""", C68, """])"), CONCATENATE(D68,"([""",params!$B$1, "&lt;a href=""", F68, """&gt;", C68, "&lt;/a&gt;""])")), ":::", E68)</f>
        <v>euler_characteristic(["오일러 지표 (χ=V-E+F)"]):::tier3</v>
      </c>
    </row>
    <row r="69" spans="1:7" ht="16.5" customHeight="1">
      <c r="A69" s="2" t="s">
        <v>70</v>
      </c>
      <c r="B69" s="2" t="str">
        <f t="shared" si="2"/>
        <v>오일러_피_함수(euler_phi)</v>
      </c>
      <c r="C69" s="2" t="str">
        <f t="shared" si="3"/>
        <v>오일러 피 함수</v>
      </c>
      <c r="D69" s="2" t="str">
        <f xml:space="preserve"> TRIM(RIGHT(SUBSTITUTE(A69," ",REPT(" ",100)),100))</f>
        <v>euler_phi</v>
      </c>
      <c r="E69" s="2" t="str">
        <f>_xlfn.CONCAT("tier", VLOOKUP(D69,tag_diff!$A:$BL,64,FALSE))</f>
        <v>tier3</v>
      </c>
      <c r="F69" s="3" t="str">
        <f>IFERROR(VLOOKUP(RIGHT(D69, LEN(D69) - 1),'post-link-extract'!$A:$E, 5, 0), "")</f>
        <v/>
      </c>
      <c r="G69" s="2" t="str">
        <f>_xlfn.CONCAT(IF(LEN(F69)=0, CONCATENATE(D69, "([""", C69, """])"), CONCATENATE(D69,"([""",params!$B$1, "&lt;a href=""", F69, """&gt;", C69, "&lt;/a&gt;""])")), ":::", E69)</f>
        <v>euler_phi(["오일러 피 함수"]):::tier3</v>
      </c>
    </row>
    <row r="70" spans="1:7" ht="16.5" customHeight="1">
      <c r="A70" s="2" t="s">
        <v>71</v>
      </c>
      <c r="B70" s="2" t="str">
        <f t="shared" si="2"/>
        <v>오일러_경로_테크닉(euler_tour_technique)</v>
      </c>
      <c r="C70" s="2" t="str">
        <f t="shared" si="3"/>
        <v>오일러 경로 테크닉</v>
      </c>
      <c r="D70" s="2" t="str">
        <f xml:space="preserve"> TRIM(RIGHT(SUBSTITUTE(A70," ",REPT(" ",100)),100))</f>
        <v>euler_tour_technique</v>
      </c>
      <c r="E70" s="2" t="str">
        <f>_xlfn.CONCAT("tier", VLOOKUP(D70,tag_diff!$A:$BL,64,FALSE))</f>
        <v>tier3</v>
      </c>
      <c r="F70" s="3" t="str">
        <f>IFERROR(VLOOKUP(RIGHT(D70, LEN(D70) - 1),'post-link-extract'!$A:$E, 5, 0), "")</f>
        <v/>
      </c>
      <c r="G70" s="2" t="str">
        <f>_xlfn.CONCAT(IF(LEN(F70)=0, CONCATENATE(D70, "([""", C70, """])"), CONCATENATE(D70,"([""",params!$B$1, "&lt;a href=""", F70, """&gt;", C70, "&lt;/a&gt;""])")), ":::", E70)</f>
        <v>euler_tour_technique(["오일러 경로 테크닉"]):::tier3</v>
      </c>
    </row>
    <row r="71" spans="1:7" ht="16.5" customHeight="1">
      <c r="A71" s="2" t="s">
        <v>72</v>
      </c>
      <c r="B71" s="2" t="str">
        <f t="shared" si="2"/>
        <v>오일러_경로(eulerian_path)</v>
      </c>
      <c r="C71" s="2" t="str">
        <f t="shared" si="3"/>
        <v>오일러 경로</v>
      </c>
      <c r="D71" s="2" t="str">
        <f xml:space="preserve"> TRIM(RIGHT(SUBSTITUTE(A71," ",REPT(" ",100)),100))</f>
        <v>eulerian_path</v>
      </c>
      <c r="E71" s="2" t="str">
        <f>_xlfn.CONCAT("tier", VLOOKUP(D71,tag_diff!$A:$BL,64,FALSE))</f>
        <v>tier2</v>
      </c>
      <c r="F71" s="3" t="str">
        <f>IFERROR(VLOOKUP(RIGHT(D71, LEN(D71) - 1),'post-link-extract'!$A:$E, 5, 0), "")</f>
        <v/>
      </c>
      <c r="G71" s="2" t="str">
        <f>_xlfn.CONCAT(IF(LEN(F71)=0, CONCATENATE(D71, "([""", C71, """])"), CONCATENATE(D71,"([""",params!$B$1, "&lt;a href=""", F71, """&gt;", C71, "&lt;/a&gt;""])")), ":::", E71)</f>
        <v>eulerian_path(["오일러 경로"]):::tier2</v>
      </c>
    </row>
    <row r="72" spans="1:7" ht="16.5" customHeight="1">
      <c r="A72" s="2" t="s">
        <v>73</v>
      </c>
      <c r="B72" s="2" t="str">
        <f t="shared" si="2"/>
        <v>분할_정복을_이용한_거듭제곱(exponentiation_by_squaring)</v>
      </c>
      <c r="C72" s="2" t="str">
        <f t="shared" si="3"/>
        <v>분할 정복을 이용한 거듭제곱</v>
      </c>
      <c r="D72" s="2" t="str">
        <f xml:space="preserve"> TRIM(RIGHT(SUBSTITUTE(A72," ",REPT(" ",100)),100))</f>
        <v>exponentiation_by_squaring</v>
      </c>
      <c r="E72" s="2" t="str">
        <f>_xlfn.CONCAT("tier", VLOOKUP(D72,tag_diff!$A:$BL,64,FALSE))</f>
        <v>tier2</v>
      </c>
      <c r="F72" s="3" t="str">
        <f>IFERROR(VLOOKUP(RIGHT(D72, LEN(D72) - 1),'post-link-extract'!$A:$E, 5, 0), "")</f>
        <v/>
      </c>
      <c r="G72" s="2" t="str">
        <f>_xlfn.CONCAT(IF(LEN(F72)=0, CONCATENATE(D72, "([""", C72, """])"), CONCATENATE(D72,"([""",params!$B$1, "&lt;a href=""", F72, """&gt;", C72, "&lt;/a&gt;""])")), ":::", E72)</f>
        <v>exponentiation_by_squaring(["분할 정복을 이용한 거듭제곱"]):::tier2</v>
      </c>
    </row>
    <row r="73" spans="1:7" ht="16.5" customHeight="1">
      <c r="A73" s="2" t="s">
        <v>74</v>
      </c>
      <c r="B73" s="2" t="str">
        <f t="shared" si="2"/>
        <v>확장_유클리드_호제법(extended_euclidean)</v>
      </c>
      <c r="C73" s="2" t="str">
        <f t="shared" si="3"/>
        <v>확장 유클리드 호제법</v>
      </c>
      <c r="D73" s="2" t="str">
        <f xml:space="preserve"> TRIM(RIGHT(SUBSTITUTE(A73," ",REPT(" ",100)),100))</f>
        <v>extended_euclidean</v>
      </c>
      <c r="E73" s="2" t="str">
        <f>_xlfn.CONCAT("tier", VLOOKUP(D73,tag_diff!$A:$BL,64,FALSE))</f>
        <v>tier3</v>
      </c>
      <c r="F73" s="3" t="str">
        <f>IFERROR(VLOOKUP(RIGHT(D73, LEN(D73) - 1),'post-link-extract'!$A:$E, 5, 0), "")</f>
        <v/>
      </c>
      <c r="G73" s="2" t="str">
        <f>_xlfn.CONCAT(IF(LEN(F73)=0, CONCATENATE(D73, "([""", C73, """])"), CONCATENATE(D73,"([""",params!$B$1, "&lt;a href=""", F73, """&gt;", C73, "&lt;/a&gt;""])")), ":::", E73)</f>
        <v>extended_euclidean(["확장 유클리드 호제법"]):::tier3</v>
      </c>
    </row>
    <row r="74" spans="1:7" ht="16.5" customHeight="1">
      <c r="A74" s="2" t="s">
        <v>75</v>
      </c>
      <c r="B74" s="2" t="str">
        <f t="shared" si="2"/>
        <v>고속_푸리에_변환(fft)</v>
      </c>
      <c r="C74" s="2" t="str">
        <f t="shared" si="3"/>
        <v>고속 푸리에 변환</v>
      </c>
      <c r="D74" s="2" t="str">
        <f xml:space="preserve"> TRIM(RIGHT(SUBSTITUTE(A74," ",REPT(" ",100)),100))</f>
        <v>fft</v>
      </c>
      <c r="E74" s="2" t="str">
        <f>_xlfn.CONCAT("tier", VLOOKUP(D74,tag_diff!$A:$BL,64,FALSE))</f>
        <v>tier4</v>
      </c>
      <c r="F74" s="3" t="str">
        <f>IFERROR(VLOOKUP(RIGHT(D74, LEN(D74) - 1),'post-link-extract'!$A:$E, 5, 0), "")</f>
        <v/>
      </c>
      <c r="G74" s="2" t="str">
        <f>_xlfn.CONCAT(IF(LEN(F74)=0, CONCATENATE(D74, "([""", C74, """])"), CONCATENATE(D74,"([""",params!$B$1, "&lt;a href=""", F74, """&gt;", C74, "&lt;/a&gt;""])")), ":::", E74)</f>
        <v>fft(["고속 푸리에 변환"]):::tier4</v>
      </c>
    </row>
    <row r="75" spans="1:7" ht="16.5" customHeight="1">
      <c r="A75" s="2" t="s">
        <v>76</v>
      </c>
      <c r="B75" s="2" t="str">
        <f t="shared" si="2"/>
        <v>플러드_필(flood_fill)</v>
      </c>
      <c r="C75" s="2" t="str">
        <f t="shared" si="3"/>
        <v>플러드 필</v>
      </c>
      <c r="D75" s="2" t="str">
        <f xml:space="preserve"> TRIM(RIGHT(SUBSTITUTE(A75," ",REPT(" ",100)),100))</f>
        <v>flood_fill</v>
      </c>
      <c r="E75" s="2" t="str">
        <f>_xlfn.CONCAT("tier", VLOOKUP(D75,tag_diff!$A:$BL,64,FALSE))</f>
        <v>tier2</v>
      </c>
      <c r="F75" s="3" t="str">
        <f>IFERROR(VLOOKUP(RIGHT(D75, LEN(D75) - 1),'post-link-extract'!$A:$E, 5, 0), "")</f>
        <v/>
      </c>
      <c r="G75" s="2" t="str">
        <f>_xlfn.CONCAT(IF(LEN(F75)=0, CONCATENATE(D75, "([""", C75, """])"), CONCATENATE(D75,"([""",params!$B$1, "&lt;a href=""", F75, """&gt;", C75, "&lt;/a&gt;""])")), ":::", E75)</f>
        <v>flood_fill(["플러드 필"]):::tier2</v>
      </c>
    </row>
    <row r="76" spans="1:7" ht="16.5" customHeight="1">
      <c r="A76" s="2" t="s">
        <v>77</v>
      </c>
      <c r="B76" s="2" t="str">
        <f t="shared" si="2"/>
        <v>최대_유량(flow)</v>
      </c>
      <c r="C76" s="2" t="str">
        <f t="shared" si="3"/>
        <v>최대 유량</v>
      </c>
      <c r="D76" s="2" t="str">
        <f xml:space="preserve"> TRIM(RIGHT(SUBSTITUTE(A76," ",REPT(" ",100)),100))</f>
        <v>flow</v>
      </c>
      <c r="E76" s="2" t="str">
        <f>_xlfn.CONCAT("tier", VLOOKUP(D76,tag_diff!$A:$BL,64,FALSE))</f>
        <v>tier3</v>
      </c>
      <c r="F76" s="3" t="str">
        <f>IFERROR(VLOOKUP(RIGHT(D76, LEN(D76) - 1),'post-link-extract'!$A:$E, 5, 0), "")</f>
        <v/>
      </c>
      <c r="G76" s="2" t="str">
        <f>_xlfn.CONCAT(IF(LEN(F76)=0, CONCATENATE(D76, "([""", C76, """])"), CONCATENATE(D76,"([""",params!$B$1, "&lt;a href=""", F76, """&gt;", C76, "&lt;/a&gt;""])")), ":::", E76)</f>
        <v>flow(["최대 유량"]):::tier3</v>
      </c>
    </row>
    <row r="77" spans="1:7" ht="16.5" customHeight="1">
      <c r="A77" s="2" t="s">
        <v>78</v>
      </c>
      <c r="B77" s="2" t="str">
        <f t="shared" si="2"/>
        <v>플로이드–워셜(floyd_warshall)</v>
      </c>
      <c r="C77" s="2" t="str">
        <f t="shared" si="3"/>
        <v>플로이드–워셜</v>
      </c>
      <c r="D77" s="2" t="str">
        <f xml:space="preserve"> TRIM(RIGHT(SUBSTITUTE(A77," ",REPT(" ",100)),100))</f>
        <v>floyd_warshall</v>
      </c>
      <c r="E77" s="2" t="str">
        <f>_xlfn.CONCAT("tier", VLOOKUP(D77,tag_diff!$A:$BL,64,FALSE))</f>
        <v>tier2</v>
      </c>
      <c r="F77" s="3" t="str">
        <f>IFERROR(VLOOKUP(RIGHT(D77, LEN(D77) - 1),'post-link-extract'!$A:$E, 5, 0), "")</f>
        <v/>
      </c>
      <c r="G77" s="2" t="str">
        <f>_xlfn.CONCAT(IF(LEN(F77)=0, CONCATENATE(D77, "([""", C77, """])"), CONCATENATE(D77,"([""",params!$B$1, "&lt;a href=""", F77, """&gt;", C77, "&lt;/a&gt;""])")), ":::", E77)</f>
        <v>floyd_warshall(["플로이드–워셜"]):::tier2</v>
      </c>
    </row>
    <row r="78" spans="1:7" ht="16.5" customHeight="1">
      <c r="A78" s="2" t="s">
        <v>79</v>
      </c>
      <c r="B78" s="2" t="str">
        <f t="shared" si="2"/>
        <v>페르마의_소정리(flt)</v>
      </c>
      <c r="C78" s="2" t="str">
        <f t="shared" si="3"/>
        <v>페르마의 소정리</v>
      </c>
      <c r="D78" s="2" t="str">
        <f xml:space="preserve"> TRIM(RIGHT(SUBSTITUTE(A78," ",REPT(" ",100)),100))</f>
        <v>flt</v>
      </c>
      <c r="E78" s="2" t="str">
        <f>_xlfn.CONCAT("tier", VLOOKUP(D78,tag_diff!$A:$BL,64,FALSE))</f>
        <v>tier2</v>
      </c>
      <c r="F78" s="3" t="str">
        <f>IFERROR(VLOOKUP(RIGHT(D78, LEN(D78) - 1),'post-link-extract'!$A:$E, 5, 0), "")</f>
        <v/>
      </c>
      <c r="G78" s="2" t="str">
        <f>_xlfn.CONCAT(IF(LEN(F78)=0, CONCATENATE(D78, "([""", C78, """])"), CONCATENATE(D78,"([""",params!$B$1, "&lt;a href=""", F78, """&gt;", C78, "&lt;/a&gt;""])")), ":::", E78)</f>
        <v>flt(["페르마의 소정리"]):::tier2</v>
      </c>
    </row>
    <row r="79" spans="1:7" ht="16.5" customHeight="1">
      <c r="A79" s="2" t="s">
        <v>80</v>
      </c>
      <c r="B79" s="2" t="str">
        <f t="shared" si="2"/>
        <v>함수형_그래프(functional_graph)</v>
      </c>
      <c r="C79" s="2" t="str">
        <f t="shared" si="3"/>
        <v>함수형 그래프</v>
      </c>
      <c r="D79" s="2" t="str">
        <f xml:space="preserve"> TRIM(RIGHT(SUBSTITUTE(A79," ",REPT(" ",100)),100))</f>
        <v>functional_graph</v>
      </c>
      <c r="E79" s="2" t="str">
        <f>_xlfn.CONCAT("tier", VLOOKUP(D79,tag_diff!$A:$BL,64,FALSE))</f>
        <v>tier3</v>
      </c>
      <c r="F79" s="3" t="str">
        <f>IFERROR(VLOOKUP(RIGHT(D79, LEN(D79) - 1),'post-link-extract'!$A:$E, 5, 0), "")</f>
        <v/>
      </c>
      <c r="G79" s="2" t="str">
        <f>_xlfn.CONCAT(IF(LEN(F79)=0, CONCATENATE(D79, "([""", C79, """])"), CONCATENATE(D79,"([""",params!$B$1, "&lt;a href=""", F79, """&gt;", C79, "&lt;/a&gt;""])")), ":::", E79)</f>
        <v>functional_graph(["함수형 그래프"]):::tier3</v>
      </c>
    </row>
    <row r="80" spans="1:7" ht="16.5" customHeight="1">
      <c r="A80" s="2" t="s">
        <v>81</v>
      </c>
      <c r="B80" s="2" t="str">
        <f t="shared" si="2"/>
        <v>게임_이론(game_theory)</v>
      </c>
      <c r="C80" s="2" t="str">
        <f t="shared" si="3"/>
        <v>게임 이론</v>
      </c>
      <c r="D80" s="2" t="str">
        <f xml:space="preserve"> TRIM(RIGHT(SUBSTITUTE(A80," ",REPT(" ",100)),100))</f>
        <v>game_theory</v>
      </c>
      <c r="E80" s="2" t="str">
        <f>_xlfn.CONCAT("tier", VLOOKUP(D80,tag_diff!$A:$BL,64,FALSE))</f>
        <v>tier2</v>
      </c>
      <c r="F80" s="3" t="str">
        <f>IFERROR(VLOOKUP(RIGHT(D80, LEN(D80) - 1),'post-link-extract'!$A:$E, 5, 0), "")</f>
        <v/>
      </c>
      <c r="G80" s="2" t="str">
        <f>_xlfn.CONCAT(IF(LEN(F80)=0, CONCATENATE(D80, "([""", C80, """])"), CONCATENATE(D80,"([""",params!$B$1, "&lt;a href=""", F80, """&gt;", C80, "&lt;/a&gt;""])")), ":::", E80)</f>
        <v>game_theory(["게임 이론"]):::tier2</v>
      </c>
    </row>
    <row r="81" spans="1:7" ht="16.5" customHeight="1">
      <c r="A81" s="2" t="s">
        <v>82</v>
      </c>
      <c r="B81" s="2" t="str">
        <f t="shared" si="2"/>
        <v>가우스_소거법(gaussian_elimination)</v>
      </c>
      <c r="C81" s="2" t="str">
        <f t="shared" si="3"/>
        <v>가우스 소거법</v>
      </c>
      <c r="D81" s="2" t="str">
        <f xml:space="preserve"> TRIM(RIGHT(SUBSTITUTE(A81," ",REPT(" ",100)),100))</f>
        <v>gaussian_elimination</v>
      </c>
      <c r="E81" s="2" t="str">
        <f>_xlfn.CONCAT("tier", VLOOKUP(D81,tag_diff!$A:$BL,64,FALSE))</f>
        <v>tier3</v>
      </c>
      <c r="F81" s="3" t="str">
        <f>IFERROR(VLOOKUP(RIGHT(D81, LEN(D81) - 1),'post-link-extract'!$A:$E, 5, 0), "")</f>
        <v/>
      </c>
      <c r="G81" s="2" t="str">
        <f>_xlfn.CONCAT(IF(LEN(F81)=0, CONCATENATE(D81, "([""", C81, """])"), CONCATENATE(D81,"([""",params!$B$1, "&lt;a href=""", F81, """&gt;", C81, "&lt;/a&gt;""])")), ":::", E81)</f>
        <v>gaussian_elimination(["가우스 소거법"]):::tier3</v>
      </c>
    </row>
    <row r="82" spans="1:7" ht="16.5" customHeight="1">
      <c r="A82" s="2" t="s">
        <v>83</v>
      </c>
      <c r="B82" s="2" t="str">
        <f t="shared" si="2"/>
        <v>일반적인_매칭(general_matching)</v>
      </c>
      <c r="C82" s="2" t="str">
        <f t="shared" si="3"/>
        <v>일반적인 매칭</v>
      </c>
      <c r="D82" s="2" t="str">
        <f xml:space="preserve"> TRIM(RIGHT(SUBSTITUTE(A82," ",REPT(" ",100)),100))</f>
        <v>general_matching</v>
      </c>
      <c r="E82" s="2" t="str">
        <f>_xlfn.CONCAT("tier", VLOOKUP(D82,tag_diff!$A:$BL,64,FALSE))</f>
        <v>tier5</v>
      </c>
      <c r="F82" s="3" t="str">
        <f>IFERROR(VLOOKUP(RIGHT(D82, LEN(D82) - 1),'post-link-extract'!$A:$E, 5, 0), "")</f>
        <v/>
      </c>
      <c r="G82" s="2" t="str">
        <f>_xlfn.CONCAT(IF(LEN(F82)=0, CONCATENATE(D82, "([""", C82, """])"), CONCATENATE(D82,"([""",params!$B$1, "&lt;a href=""", F82, """&gt;", C82, "&lt;/a&gt;""])")), ":::", E82)</f>
        <v>general_matching(["일반적인 매칭"]):::tier5</v>
      </c>
    </row>
    <row r="83" spans="1:7" ht="16.5" customHeight="1">
      <c r="A83" s="2" t="s">
        <v>84</v>
      </c>
      <c r="B83" s="2" t="str">
        <f t="shared" si="2"/>
        <v>생성_함수(generating_function)</v>
      </c>
      <c r="C83" s="2" t="str">
        <f t="shared" si="3"/>
        <v>생성 함수</v>
      </c>
      <c r="D83" s="2" t="str">
        <f xml:space="preserve"> TRIM(RIGHT(SUBSTITUTE(A83," ",REPT(" ",100)),100))</f>
        <v>generating_function</v>
      </c>
      <c r="E83" s="2" t="str">
        <f>_xlfn.CONCAT("tier", VLOOKUP(D83,tag_diff!$A:$BL,64,FALSE))</f>
        <v>tier4</v>
      </c>
      <c r="F83" s="3" t="str">
        <f>IFERROR(VLOOKUP(RIGHT(D83, LEN(D83) - 1),'post-link-extract'!$A:$E, 5, 0), "")</f>
        <v/>
      </c>
      <c r="G83" s="2" t="str">
        <f>_xlfn.CONCAT(IF(LEN(F83)=0, CONCATENATE(D83, "([""", C83, """])"), CONCATENATE(D83,"([""",params!$B$1, "&lt;a href=""", F83, """&gt;", C83, "&lt;/a&gt;""])")), ":::", E83)</f>
        <v>generating_function(["생성 함수"]):::tier4</v>
      </c>
    </row>
    <row r="84" spans="1:7" ht="16.5" customHeight="1">
      <c r="A84" s="2" t="s">
        <v>85</v>
      </c>
      <c r="B84" s="2" t="str">
        <f t="shared" si="2"/>
        <v>도형에서의_불_연산(geometric_boolean_operations)</v>
      </c>
      <c r="C84" s="2" t="str">
        <f t="shared" si="3"/>
        <v>도형에서의 불 연산</v>
      </c>
      <c r="D84" s="2" t="str">
        <f xml:space="preserve"> TRIM(RIGHT(SUBSTITUTE(A84," ",REPT(" ",100)),100))</f>
        <v>geometric_boolean_operations</v>
      </c>
      <c r="E84" s="2" t="str">
        <f>_xlfn.CONCAT("tier", VLOOKUP(D84,tag_diff!$A:$BL,64,FALSE))</f>
        <v>tier5</v>
      </c>
      <c r="F84" s="3" t="str">
        <f>IFERROR(VLOOKUP(RIGHT(D84, LEN(D84) - 1),'post-link-extract'!$A:$E, 5, 0), "")</f>
        <v/>
      </c>
      <c r="G84" s="2" t="str">
        <f>_xlfn.CONCAT(IF(LEN(F84)=0, CONCATENATE(D84, "([""", C84, """])"), CONCATENATE(D84,"([""",params!$B$1, "&lt;a href=""", F84, """&gt;", C84, "&lt;/a&gt;""])")), ":::", E84)</f>
        <v>geometric_boolean_operations(["도형에서의 불 연산"]):::tier5</v>
      </c>
    </row>
    <row r="85" spans="1:7" ht="16.5" customHeight="1">
      <c r="A85" s="2" t="s">
        <v>86</v>
      </c>
      <c r="B85" s="2" t="str">
        <f t="shared" si="2"/>
        <v>기하학(geometry)</v>
      </c>
      <c r="C85" s="2" t="str">
        <f t="shared" si="3"/>
        <v>기하학</v>
      </c>
      <c r="D85" s="2" t="str">
        <f xml:space="preserve"> TRIM(RIGHT(SUBSTITUTE(A85," ",REPT(" ",100)),100))</f>
        <v>geometry</v>
      </c>
      <c r="E85" s="2" t="str">
        <f>_xlfn.CONCAT("tier", VLOOKUP(D85,tag_diff!$A:$BL,64,FALSE))</f>
        <v>tier1</v>
      </c>
      <c r="F85" s="3" t="str">
        <f>IFERROR(VLOOKUP(RIGHT(D85, LEN(D85) - 1),'post-link-extract'!$A:$E, 5, 0), "")</f>
        <v/>
      </c>
      <c r="G85" s="2" t="str">
        <f>_xlfn.CONCAT(IF(LEN(F85)=0, CONCATENATE(D85, "([""", C85, """])"), CONCATENATE(D85,"([""",params!$B$1, "&lt;a href=""", F85, """&gt;", C85, "&lt;/a&gt;""])")), ":::", E85)</f>
        <v>geometry(["기하학"]):::tier1</v>
      </c>
    </row>
    <row r="86" spans="1:7" ht="16.5" customHeight="1">
      <c r="A86" s="2" t="s">
        <v>87</v>
      </c>
      <c r="B86" s="2" t="str">
        <f t="shared" si="2"/>
        <v>3차원_기하학(geometry_3d)</v>
      </c>
      <c r="C86" s="2" t="str">
        <f t="shared" si="3"/>
        <v>3차원 기하학</v>
      </c>
      <c r="D86" s="2" t="str">
        <f xml:space="preserve"> TRIM(RIGHT(SUBSTITUTE(A86," ",REPT(" ",100)),100))</f>
        <v>geometry_3d</v>
      </c>
      <c r="E86" s="2" t="str">
        <f>_xlfn.CONCAT("tier", VLOOKUP(D86,tag_diff!$A:$BL,64,FALSE))</f>
        <v>tier1</v>
      </c>
      <c r="F86" s="3" t="str">
        <f>IFERROR(VLOOKUP(RIGHT(D86, LEN(D86) - 1),'post-link-extract'!$A:$E, 5, 0), "")</f>
        <v/>
      </c>
      <c r="G86" s="2" t="str">
        <f>_xlfn.CONCAT(IF(LEN(F86)=0, CONCATENATE(D86, "([""", C86, """])"), CONCATENATE(D86,"([""",params!$B$1, "&lt;a href=""", F86, """&gt;", C86, "&lt;/a&gt;""])")), ":::", E86)</f>
        <v>geometry_3d(["3차원 기하학"]):::tier1</v>
      </c>
    </row>
    <row r="87" spans="1:7" ht="16.5" customHeight="1">
      <c r="A87" s="2" t="s">
        <v>88</v>
      </c>
      <c r="B87" s="2" t="str">
        <f t="shared" si="2"/>
        <v>4차원_이상의_기하학(geometry_hyper)</v>
      </c>
      <c r="C87" s="2" t="str">
        <f t="shared" si="3"/>
        <v>4차원 이상의 기하학</v>
      </c>
      <c r="D87" s="2" t="str">
        <f xml:space="preserve"> TRIM(RIGHT(SUBSTITUTE(A87," ",REPT(" ",100)),100))</f>
        <v>geometry_hyper</v>
      </c>
      <c r="E87" s="2" t="str">
        <f>_xlfn.CONCAT("tier", VLOOKUP(D87,tag_diff!$A:$BL,64,FALSE))</f>
        <v>tier2</v>
      </c>
      <c r="F87" s="3" t="str">
        <f>IFERROR(VLOOKUP(RIGHT(D87, LEN(D87) - 1),'post-link-extract'!$A:$E, 5, 0), "")</f>
        <v/>
      </c>
      <c r="G87" s="2" t="str">
        <f>_xlfn.CONCAT(IF(LEN(F87)=0, CONCATENATE(D87, "([""", C87, """])"), CONCATENATE(D87,"([""",params!$B$1, "&lt;a href=""", F87, """&gt;", C87, "&lt;/a&gt;""])")), ":::", E87)</f>
        <v>geometry_hyper(["4차원 이상의 기하학"]):::tier2</v>
      </c>
    </row>
    <row r="88" spans="1:7" ht="16.5" customHeight="1">
      <c r="A88" s="2" t="s">
        <v>89</v>
      </c>
      <c r="B88" s="2" t="str">
        <f t="shared" si="2"/>
        <v>경사_하강법(gradient_descent)</v>
      </c>
      <c r="C88" s="2" t="str">
        <f t="shared" si="3"/>
        <v>경사 하강법</v>
      </c>
      <c r="D88" s="2" t="str">
        <f xml:space="preserve"> TRIM(RIGHT(SUBSTITUTE(A88," ",REPT(" ",100)),100))</f>
        <v>gradient_descent</v>
      </c>
      <c r="E88" s="2" t="str">
        <f>_xlfn.CONCAT("tier", VLOOKUP(D88,tag_diff!$A:$BL,64,FALSE))</f>
        <v>tier3</v>
      </c>
      <c r="F88" s="3" t="str">
        <f>IFERROR(VLOOKUP(RIGHT(D88, LEN(D88) - 1),'post-link-extract'!$A:$E, 5, 0), "")</f>
        <v/>
      </c>
      <c r="G88" s="2" t="str">
        <f>_xlfn.CONCAT(IF(LEN(F88)=0, CONCATENATE(D88, "([""", C88, """])"), CONCATENATE(D88,"([""",params!$B$1, "&lt;a href=""", F88, """&gt;", C88, "&lt;/a&gt;""])")), ":::", E88)</f>
        <v>gradient_descent(["경사 하강법"]):::tier3</v>
      </c>
    </row>
    <row r="89" spans="1:7" ht="16.5" customHeight="1">
      <c r="A89" s="2" t="s">
        <v>90</v>
      </c>
      <c r="B89" s="2" t="str">
        <f t="shared" si="2"/>
        <v>그래프_탐색(graph_traversal)</v>
      </c>
      <c r="C89" s="2" t="str">
        <f t="shared" si="3"/>
        <v>그래프 탐색</v>
      </c>
      <c r="D89" s="2" t="str">
        <f xml:space="preserve"> TRIM(RIGHT(SUBSTITUTE(A89," ",REPT(" ",100)),100))</f>
        <v>graph_traversal</v>
      </c>
      <c r="E89" s="2" t="str">
        <f>_xlfn.CONCAT("tier", VLOOKUP(D89,tag_diff!$A:$BL,64,FALSE))</f>
        <v>tier2</v>
      </c>
      <c r="F89" s="3" t="str">
        <f>IFERROR(VLOOKUP(RIGHT(D89, LEN(D89) - 1),'post-link-extract'!$A:$E, 5, 0), "")</f>
        <v/>
      </c>
      <c r="G89" s="2" t="str">
        <f>_xlfn.CONCAT(IF(LEN(F89)=0, CONCATENATE(D89, "([""", C89, """])"), CONCATENATE(D89,"([""",params!$B$1, "&lt;a href=""", F89, """&gt;", C89, "&lt;/a&gt;""])")), ":::", E89)</f>
        <v>graph_traversal(["그래프 탐색"]):::tier2</v>
      </c>
    </row>
    <row r="90" spans="1:7" ht="16.5" customHeight="1">
      <c r="A90" s="2" t="s">
        <v>91</v>
      </c>
      <c r="B90" s="2" t="str">
        <f t="shared" si="2"/>
        <v>그래프_이론(graphs)</v>
      </c>
      <c r="C90" s="2" t="str">
        <f t="shared" si="3"/>
        <v>그래프 이론</v>
      </c>
      <c r="D90" s="2" t="str">
        <f xml:space="preserve"> TRIM(RIGHT(SUBSTITUTE(A90," ",REPT(" ",100)),100))</f>
        <v>graphs</v>
      </c>
      <c r="E90" s="2" t="str">
        <f>_xlfn.CONCAT("tier", VLOOKUP(D90,tag_diff!$A:$BL,64,FALSE))</f>
        <v>tier2</v>
      </c>
      <c r="F90" s="3" t="str">
        <f>IFERROR(VLOOKUP(RIGHT(D90, LEN(D90) - 1),'post-link-extract'!$A:$E, 5, 0), "")</f>
        <v/>
      </c>
      <c r="G90" s="2" t="str">
        <f>_xlfn.CONCAT(IF(LEN(F90)=0, CONCATENATE(D90, "([""", C90, """])"), CONCATENATE(D90,"([""",params!$B$1, "&lt;a href=""", F90, """&gt;", C90, "&lt;/a&gt;""])")), ":::", E90)</f>
        <v>graphs(["그래프 이론"]):::tier2</v>
      </c>
    </row>
    <row r="91" spans="1:7" ht="16.5" customHeight="1">
      <c r="A91" s="2" t="s">
        <v>92</v>
      </c>
      <c r="B91" s="2" t="str">
        <f t="shared" si="2"/>
        <v>그리디_알고리즘(greedy)</v>
      </c>
      <c r="C91" s="2" t="str">
        <f t="shared" si="3"/>
        <v>그리디 알고리즘</v>
      </c>
      <c r="D91" s="2" t="str">
        <f xml:space="preserve"> TRIM(RIGHT(SUBSTITUTE(A91," ",REPT(" ",100)),100))</f>
        <v>greedy</v>
      </c>
      <c r="E91" s="2" t="str">
        <f>_xlfn.CONCAT("tier", VLOOKUP(D91,tag_diff!$A:$BL,64,FALSE))</f>
        <v>tier1</v>
      </c>
      <c r="F91" s="3" t="str">
        <f>IFERROR(VLOOKUP(RIGHT(D91, LEN(D91) - 1),'post-link-extract'!$A:$E, 5, 0), "")</f>
        <v/>
      </c>
      <c r="G91" s="2" t="str">
        <f>_xlfn.CONCAT(IF(LEN(F91)=0, CONCATENATE(D91, "([""", C91, """])"), CONCATENATE(D91,"([""",params!$B$1, "&lt;a href=""", F91, """&gt;", C91, "&lt;/a&gt;""])")), ":::", E91)</f>
        <v>greedy(["그리디 알고리즘"]):::tier1</v>
      </c>
    </row>
    <row r="92" spans="1:7" ht="16.5" customHeight="1">
      <c r="A92" s="2" t="s">
        <v>93</v>
      </c>
      <c r="B92" s="2" t="str">
        <f t="shared" si="2"/>
        <v>그린_정리(green)</v>
      </c>
      <c r="C92" s="2" t="str">
        <f t="shared" si="3"/>
        <v>그린 정리</v>
      </c>
      <c r="D92" s="2" t="str">
        <f xml:space="preserve"> TRIM(RIGHT(SUBSTITUTE(A92," ",REPT(" ",100)),100))</f>
        <v>green</v>
      </c>
      <c r="E92" s="2" t="str">
        <f>_xlfn.CONCAT("tier", VLOOKUP(D92,tag_diff!$A:$BL,64,FALSE))</f>
        <v>tier4</v>
      </c>
      <c r="F92" s="3" t="str">
        <f>IFERROR(VLOOKUP(RIGHT(D92, LEN(D92) - 1),'post-link-extract'!$A:$E, 5, 0), "")</f>
        <v/>
      </c>
      <c r="G92" s="2" t="str">
        <f>_xlfn.CONCAT(IF(LEN(F92)=0, CONCATENATE(D92, "([""", C92, """])"), CONCATENATE(D92,"([""",params!$B$1, "&lt;a href=""", F92, """&gt;", C92, "&lt;/a&gt;""])")), ":::", E92)</f>
        <v>green(["그린 정리"]):::tier4</v>
      </c>
    </row>
    <row r="93" spans="1:7" ht="16.5" customHeight="1">
      <c r="A93" s="2" t="s">
        <v>94</v>
      </c>
      <c r="B93" s="2" t="str">
        <f t="shared" si="2"/>
        <v>하켄부시_게임(hackenbush)</v>
      </c>
      <c r="C93" s="2" t="str">
        <f t="shared" si="3"/>
        <v>하켄부시 게임</v>
      </c>
      <c r="D93" s="2" t="str">
        <f xml:space="preserve"> TRIM(RIGHT(SUBSTITUTE(A93," ",REPT(" ",100)),100))</f>
        <v>hackenbush</v>
      </c>
      <c r="E93" s="2" t="str">
        <f>_xlfn.CONCAT("tier", VLOOKUP(D93,tag_diff!$A:$BL,64,FALSE))</f>
        <v>tier5</v>
      </c>
      <c r="F93" s="3" t="str">
        <f>IFERROR(VLOOKUP(RIGHT(D93, LEN(D93) - 1),'post-link-extract'!$A:$E, 5, 0), "")</f>
        <v/>
      </c>
      <c r="G93" s="2" t="str">
        <f>_xlfn.CONCAT(IF(LEN(F93)=0, CONCATENATE(D93, "([""", C93, """])"), CONCATENATE(D93,"([""",params!$B$1, "&lt;a href=""", F93, """&gt;", C93, "&lt;/a&gt;""])")), ":::", E93)</f>
        <v>hackenbush(["하켄부시 게임"]):::tier5</v>
      </c>
    </row>
    <row r="94" spans="1:7" ht="16.5" customHeight="1">
      <c r="A94" s="2" t="s">
        <v>95</v>
      </c>
      <c r="B94" s="2" t="str">
        <f t="shared" si="2"/>
        <v>반평면_교집합(half_plane_intersection)</v>
      </c>
      <c r="C94" s="2" t="str">
        <f t="shared" si="3"/>
        <v>반평면 교집합</v>
      </c>
      <c r="D94" s="2" t="str">
        <f xml:space="preserve"> TRIM(RIGHT(SUBSTITUTE(A94," ",REPT(" ",100)),100))</f>
        <v>half_plane_intersection</v>
      </c>
      <c r="E94" s="2" t="str">
        <f>_xlfn.CONCAT("tier", VLOOKUP(D94,tag_diff!$A:$BL,64,FALSE))</f>
        <v>tier4</v>
      </c>
      <c r="F94" s="3" t="str">
        <f>IFERROR(VLOOKUP(RIGHT(D94, LEN(D94) - 1),'post-link-extract'!$A:$E, 5, 0), "")</f>
        <v/>
      </c>
      <c r="G94" s="2" t="str">
        <f>_xlfn.CONCAT(IF(LEN(F94)=0, CONCATENATE(D94, "([""", C94, """])"), CONCATENATE(D94,"([""",params!$B$1, "&lt;a href=""", F94, """&gt;", C94, "&lt;/a&gt;""])")), ":::", E94)</f>
        <v>half_plane_intersection(["반평면 교집합"]):::tier4</v>
      </c>
    </row>
    <row r="95" spans="1:7" ht="16.5" customHeight="1">
      <c r="A95" s="2" t="s">
        <v>96</v>
      </c>
      <c r="B95" s="2" t="str">
        <f t="shared" si="2"/>
        <v>홀의_결혼_정리(hall)</v>
      </c>
      <c r="C95" s="2" t="str">
        <f t="shared" si="3"/>
        <v>홀의 결혼 정리</v>
      </c>
      <c r="D95" s="2" t="str">
        <f xml:space="preserve"> TRIM(RIGHT(SUBSTITUTE(A95," ",REPT(" ",100)),100))</f>
        <v>hall</v>
      </c>
      <c r="E95" s="2" t="str">
        <f>_xlfn.CONCAT("tier", VLOOKUP(D95,tag_diff!$A:$BL,64,FALSE))</f>
        <v>tier4</v>
      </c>
      <c r="F95" s="3" t="str">
        <f>IFERROR(VLOOKUP(RIGHT(D95, LEN(D95) - 1),'post-link-extract'!$A:$E, 5, 0), "")</f>
        <v/>
      </c>
      <c r="G95" s="2" t="str">
        <f>_xlfn.CONCAT(IF(LEN(F95)=0, CONCATENATE(D95, "([""", C95, """])"), CONCATENATE(D95,"([""",params!$B$1, "&lt;a href=""", F95, """&gt;", C95, "&lt;/a&gt;""])")), ":::", E95)</f>
        <v>hall(["홀의 결혼 정리"]):::tier4</v>
      </c>
    </row>
    <row r="96" spans="1:7" ht="16.5" customHeight="1">
      <c r="A96" s="2" t="s">
        <v>97</v>
      </c>
      <c r="B96" s="2" t="str">
        <f t="shared" si="2"/>
        <v>해시를_사용한_집합과_맵(hash_set)</v>
      </c>
      <c r="C96" s="2" t="str">
        <f t="shared" si="3"/>
        <v>해시를 사용한 집합과 맵</v>
      </c>
      <c r="D96" s="2" t="str">
        <f xml:space="preserve"> TRIM(RIGHT(SUBSTITUTE(A96," ",REPT(" ",100)),100))</f>
        <v>hash_set</v>
      </c>
      <c r="E96" s="2" t="str">
        <f>_xlfn.CONCAT("tier", VLOOKUP(D96,tag_diff!$A:$BL,64,FALSE))</f>
        <v>tier1</v>
      </c>
      <c r="F96" s="3" t="str">
        <f>IFERROR(VLOOKUP(RIGHT(D96, LEN(D96) - 1),'post-link-extract'!$A:$E, 5, 0), "")</f>
        <v/>
      </c>
      <c r="G96" s="2" t="str">
        <f>_xlfn.CONCAT(IF(LEN(F96)=0, CONCATENATE(D96, "([""", C96, """])"), CONCATENATE(D96,"([""",params!$B$1, "&lt;a href=""", F96, """&gt;", C96, "&lt;/a&gt;""])")), ":::", E96)</f>
        <v>hash_set(["해시를 사용한 집합과 맵"]):::tier1</v>
      </c>
    </row>
    <row r="97" spans="1:7" ht="16.5" customHeight="1">
      <c r="A97" s="2" t="s">
        <v>98</v>
      </c>
      <c r="B97" s="2" t="str">
        <f t="shared" si="2"/>
        <v>해싱(hashing)</v>
      </c>
      <c r="C97" s="2" t="str">
        <f t="shared" si="3"/>
        <v>해싱</v>
      </c>
      <c r="D97" s="2" t="str">
        <f xml:space="preserve"> TRIM(RIGHT(SUBSTITUTE(A97," ",REPT(" ",100)),100))</f>
        <v>hashing</v>
      </c>
      <c r="E97" s="2" t="str">
        <f>_xlfn.CONCAT("tier", VLOOKUP(D97,tag_diff!$A:$BL,64,FALSE))</f>
        <v>tier3</v>
      </c>
      <c r="F97" s="3" t="str">
        <f>IFERROR(VLOOKUP(RIGHT(D97, LEN(D97) - 1),'post-link-extract'!$A:$E, 5, 0), "")</f>
        <v/>
      </c>
      <c r="G97" s="2" t="str">
        <f>_xlfn.CONCAT(IF(LEN(F97)=0, CONCATENATE(D97, "([""", C97, """])"), CONCATENATE(D97,"([""",params!$B$1, "&lt;a href=""", F97, """&gt;", C97, "&lt;/a&gt;""])")), ":::", E97)</f>
        <v>hashing(["해싱"]):::tier3</v>
      </c>
    </row>
    <row r="98" spans="1:7" ht="16.5" customHeight="1">
      <c r="A98" s="2" t="s">
        <v>99</v>
      </c>
      <c r="B98" s="2" t="str">
        <f t="shared" si="2"/>
        <v>휴리스틱(heuristics)</v>
      </c>
      <c r="C98" s="2" t="str">
        <f t="shared" si="3"/>
        <v>휴리스틱</v>
      </c>
      <c r="D98" s="2" t="str">
        <f xml:space="preserve"> TRIM(RIGHT(SUBSTITUTE(A98," ",REPT(" ",100)),100))</f>
        <v>heuristics</v>
      </c>
      <c r="E98" s="2" t="str">
        <f>_xlfn.CONCAT("tier", VLOOKUP(D98,tag_diff!$A:$BL,64,FALSE))</f>
        <v>tier2</v>
      </c>
      <c r="F98" s="3" t="str">
        <f>IFERROR(VLOOKUP(RIGHT(D98, LEN(D98) - 1),'post-link-extract'!$A:$E, 5, 0), "")</f>
        <v/>
      </c>
      <c r="G98" s="2" t="str">
        <f>_xlfn.CONCAT(IF(LEN(F98)=0, CONCATENATE(D98, "([""", C98, """])"), CONCATENATE(D98,"([""",params!$B$1, "&lt;a href=""", F98, """&gt;", C98, "&lt;/a&gt;""])")), ":::", E98)</f>
        <v>heuristics(["휴리스틱"]):::tier2</v>
      </c>
    </row>
    <row r="99" spans="1:7" ht="16.5" customHeight="1">
      <c r="A99" s="2" t="s">
        <v>100</v>
      </c>
      <c r="B99" s="2" t="str">
        <f t="shared" si="2"/>
        <v>히르쉬버그(hirschberg)</v>
      </c>
      <c r="C99" s="2" t="str">
        <f t="shared" si="3"/>
        <v>히르쉬버그</v>
      </c>
      <c r="D99" s="2" t="str">
        <f xml:space="preserve"> TRIM(RIGHT(SUBSTITUTE(A99," ",REPT(" ",100)),100))</f>
        <v>hirschberg</v>
      </c>
      <c r="E99" s="2" t="str">
        <f>_xlfn.CONCAT("tier", VLOOKUP(D99,tag_diff!$A:$BL,64,FALSE))</f>
        <v>tier4</v>
      </c>
      <c r="F99" s="3" t="str">
        <f>IFERROR(VLOOKUP(RIGHT(D99, LEN(D99) - 1),'post-link-extract'!$A:$E, 5, 0), "")</f>
        <v/>
      </c>
      <c r="G99" s="2" t="str">
        <f>_xlfn.CONCAT(IF(LEN(F99)=0, CONCATENATE(D99, "([""", C99, """])"), CONCATENATE(D99,"([""",params!$B$1, "&lt;a href=""", F99, """&gt;", C99, "&lt;/a&gt;""])")), ":::", E99)</f>
        <v>hirschberg(["히르쉬버그"]):::tier4</v>
      </c>
    </row>
    <row r="100" spans="1:7" ht="16.5" customHeight="1">
      <c r="A100" s="2" t="s">
        <v>101</v>
      </c>
      <c r="B100" s="2" t="str">
        <f t="shared" si="2"/>
        <v>Heavy-light_분할(hld)</v>
      </c>
      <c r="C100" s="2" t="str">
        <f t="shared" si="3"/>
        <v>Heavy-light 분할</v>
      </c>
      <c r="D100" s="2" t="str">
        <f xml:space="preserve"> TRIM(RIGHT(SUBSTITUTE(A100," ",REPT(" ",100)),100))</f>
        <v>hld</v>
      </c>
      <c r="E100" s="2" t="str">
        <f>_xlfn.CONCAT("tier", VLOOKUP(D100,tag_diff!$A:$BL,64,FALSE))</f>
        <v>tier4</v>
      </c>
      <c r="F100" s="3" t="str">
        <f>IFERROR(VLOOKUP(RIGHT(D100, LEN(D100) - 1),'post-link-extract'!$A:$E, 5, 0), "")</f>
        <v/>
      </c>
      <c r="G100" s="2" t="str">
        <f>_xlfn.CONCAT(IF(LEN(F100)=0, CONCATENATE(D100, "([""", C100, """])"), CONCATENATE(D100,"([""",params!$B$1, "&lt;a href=""", F100, """&gt;", C100, "&lt;/a&gt;""])")), ":::", E100)</f>
        <v>hld(["Heavy-light 분할"]):::tier4</v>
      </c>
    </row>
    <row r="101" spans="1:7" ht="16.5" customHeight="1">
      <c r="A101" s="2" t="s">
        <v>102</v>
      </c>
      <c r="B101" s="2" t="str">
        <f t="shared" si="2"/>
        <v>헝가리안(hungarian)</v>
      </c>
      <c r="C101" s="2" t="str">
        <f t="shared" si="3"/>
        <v>헝가리안</v>
      </c>
      <c r="D101" s="2" t="str">
        <f xml:space="preserve"> TRIM(RIGHT(SUBSTITUTE(A101," ",REPT(" ",100)),100))</f>
        <v>hungarian</v>
      </c>
      <c r="E101" s="2" t="str">
        <f>_xlfn.CONCAT("tier", VLOOKUP(D101,tag_diff!$A:$BL,64,FALSE))</f>
        <v>tier3</v>
      </c>
      <c r="F101" s="3" t="str">
        <f>IFERROR(VLOOKUP(RIGHT(D101, LEN(D101) - 1),'post-link-extract'!$A:$E, 5, 0), "")</f>
        <v/>
      </c>
      <c r="G101" s="2" t="str">
        <f>_xlfn.CONCAT(IF(LEN(F101)=0, CONCATENATE(D101, "([""", C101, """])"), CONCATENATE(D101,"([""",params!$B$1, "&lt;a href=""", F101, """&gt;", C101, "&lt;/a&gt;""])")), ":::", E101)</f>
        <v>hungarian(["헝가리안"]):::tier3</v>
      </c>
    </row>
    <row r="102" spans="1:7" ht="16.5" customHeight="1">
      <c r="A102" s="2" t="s">
        <v>103</v>
      </c>
      <c r="B102" s="2" t="str">
        <f t="shared" si="2"/>
        <v>구현(implementation)</v>
      </c>
      <c r="C102" s="2" t="str">
        <f t="shared" si="3"/>
        <v>구현</v>
      </c>
      <c r="D102" s="2" t="str">
        <f xml:space="preserve"> TRIM(RIGHT(SUBSTITUTE(A102," ",REPT(" ",100)),100))</f>
        <v>implementation</v>
      </c>
      <c r="E102" s="2" t="str">
        <f>_xlfn.CONCAT("tier", VLOOKUP(D102,tag_diff!$A:$BL,64,FALSE))</f>
        <v>tier0</v>
      </c>
      <c r="F102" s="3" t="str">
        <f>IFERROR(VLOOKUP(RIGHT(D102, LEN(D102) - 1),'post-link-extract'!$A:$E, 5, 0), "")</f>
        <v/>
      </c>
      <c r="G102" s="2" t="str">
        <f>_xlfn.CONCAT(IF(LEN(F102)=0, CONCATENATE(D102, "([""", C102, """])"), CONCATENATE(D102,"([""",params!$B$1, "&lt;a href=""", F102, """&gt;", C102, "&lt;/a&gt;""])")), ":::", E102)</f>
        <v>implementation(["구현"]):::tier0</v>
      </c>
    </row>
    <row r="103" spans="1:7" ht="16.5" customHeight="1">
      <c r="A103" s="2" t="s">
        <v>104</v>
      </c>
      <c r="B103" s="2" t="str">
        <f t="shared" si="2"/>
        <v>포함_배제의_원리(inclusion_and_exclusion)</v>
      </c>
      <c r="C103" s="2" t="str">
        <f t="shared" si="3"/>
        <v>포함 배제의 원리</v>
      </c>
      <c r="D103" s="2" t="str">
        <f xml:space="preserve"> TRIM(RIGHT(SUBSTITUTE(A103," ",REPT(" ",100)),100))</f>
        <v>inclusion_and_exclusion</v>
      </c>
      <c r="E103" s="2" t="str">
        <f>_xlfn.CONCAT("tier", VLOOKUP(D103,tag_diff!$A:$BL,64,FALSE))</f>
        <v>tier2</v>
      </c>
      <c r="F103" s="3" t="str">
        <f>IFERROR(VLOOKUP(RIGHT(D103, LEN(D103) - 1),'post-link-extract'!$A:$E, 5, 0), "")</f>
        <v/>
      </c>
      <c r="G103" s="2" t="str">
        <f>_xlfn.CONCAT(IF(LEN(F103)=0, CONCATENATE(D103, "([""", C103, """])"), CONCATENATE(D103,"([""",params!$B$1, "&lt;a href=""", F103, """&gt;", C103, "&lt;/a&gt;""])")), ":::", E103)</f>
        <v>inclusion_and_exclusion(["포함 배제의 원리"]):::tier2</v>
      </c>
    </row>
    <row r="104" spans="1:7" ht="16.5" customHeight="1">
      <c r="A104" s="2" t="s">
        <v>105</v>
      </c>
      <c r="B104" s="2" t="str">
        <f t="shared" si="2"/>
        <v>키타마사(kitamasa)</v>
      </c>
      <c r="C104" s="2" t="str">
        <f t="shared" si="3"/>
        <v>키타마사</v>
      </c>
      <c r="D104" s="2" t="str">
        <f xml:space="preserve"> TRIM(RIGHT(SUBSTITUTE(A104," ",REPT(" ",100)),100))</f>
        <v>kitamasa</v>
      </c>
      <c r="E104" s="2" t="str">
        <f>_xlfn.CONCAT("tier", VLOOKUP(D104,tag_diff!$A:$BL,64,FALSE))</f>
        <v>tier4</v>
      </c>
      <c r="F104" s="3" t="str">
        <f>IFERROR(VLOOKUP(RIGHT(D104, LEN(D104) - 1),'post-link-extract'!$A:$E, 5, 0), "")</f>
        <v/>
      </c>
      <c r="G104" s="2" t="str">
        <f>_xlfn.CONCAT(IF(LEN(F104)=0, CONCATENATE(D104, "([""", C104, """])"), CONCATENATE(D104,"([""",params!$B$1, "&lt;a href=""", F104, """&gt;", C104, "&lt;/a&gt;""])")), ":::", E104)</f>
        <v>kitamasa(["키타마사"]):::tier4</v>
      </c>
    </row>
    <row r="105" spans="1:7" ht="16.5" customHeight="1">
      <c r="A105" s="2" t="s">
        <v>106</v>
      </c>
      <c r="B105" s="2" t="str">
        <f t="shared" si="2"/>
        <v>KMP(kmp)</v>
      </c>
      <c r="C105" s="2" t="str">
        <f t="shared" si="3"/>
        <v>KMP</v>
      </c>
      <c r="D105" s="2" t="str">
        <f xml:space="preserve"> TRIM(RIGHT(SUBSTITUTE(A105," ",REPT(" ",100)),100))</f>
        <v>kmp</v>
      </c>
      <c r="E105" s="2" t="str">
        <f>_xlfn.CONCAT("tier", VLOOKUP(D105,tag_diff!$A:$BL,64,FALSE))</f>
        <v>tier3</v>
      </c>
      <c r="F105" s="3" t="str">
        <f>IFERROR(VLOOKUP(RIGHT(D105, LEN(D105) - 1),'post-link-extract'!$A:$E, 5, 0), "")</f>
        <v/>
      </c>
      <c r="G105" s="2" t="str">
        <f>_xlfn.CONCAT(IF(LEN(F105)=0, CONCATENATE(D105, "([""", C105, """])"), CONCATENATE(D105,"([""",params!$B$1, "&lt;a href=""", F105, """&gt;", C105, "&lt;/a&gt;""])")), ":::", E105)</f>
        <v>kmp(["KMP"]):::tier3</v>
      </c>
    </row>
    <row r="106" spans="1:7" ht="16.5" customHeight="1">
      <c r="A106" s="2" t="s">
        <v>107</v>
      </c>
      <c r="B106" s="2" t="str">
        <f t="shared" si="2"/>
        <v>배낭_문제(knapsack)</v>
      </c>
      <c r="C106" s="2" t="str">
        <f t="shared" si="3"/>
        <v>배낭 문제</v>
      </c>
      <c r="D106" s="2" t="str">
        <f xml:space="preserve"> TRIM(RIGHT(SUBSTITUTE(A106," ",REPT(" ",100)),100))</f>
        <v>knapsack</v>
      </c>
      <c r="E106" s="2" t="str">
        <f>_xlfn.CONCAT("tier", VLOOKUP(D106,tag_diff!$A:$BL,64,FALSE))</f>
        <v>tier2</v>
      </c>
      <c r="F106" s="3" t="str">
        <f>IFERROR(VLOOKUP(RIGHT(D106, LEN(D106) - 1),'post-link-extract'!$A:$E, 5, 0), "")</f>
        <v/>
      </c>
      <c r="G106" s="2" t="str">
        <f>_xlfn.CONCAT(IF(LEN(F106)=0, CONCATENATE(D106, "([""", C106, """])"), CONCATENATE(D106,"([""",params!$B$1, "&lt;a href=""", F106, """&gt;", C106, "&lt;/a&gt;""])")), ":::", E106)</f>
        <v>knapsack(["배낭 문제"]):::tier2</v>
      </c>
    </row>
    <row r="107" spans="1:7" ht="16.5" customHeight="1">
      <c r="A107" s="2" t="s">
        <v>108</v>
      </c>
      <c r="B107" s="2" t="str">
        <f t="shared" si="2"/>
        <v>크누스_최적화(knuth)</v>
      </c>
      <c r="C107" s="2" t="str">
        <f t="shared" si="3"/>
        <v>크누스 최적화</v>
      </c>
      <c r="D107" s="2" t="str">
        <f xml:space="preserve"> TRIM(RIGHT(SUBSTITUTE(A107," ",REPT(" ",100)),100))</f>
        <v>knuth</v>
      </c>
      <c r="E107" s="2" t="str">
        <f>_xlfn.CONCAT("tier", VLOOKUP(D107,tag_diff!$A:$BL,64,FALSE))</f>
        <v>tier4</v>
      </c>
      <c r="F107" s="3" t="str">
        <f>IFERROR(VLOOKUP(RIGHT(D107, LEN(D107) - 1),'post-link-extract'!$A:$E, 5, 0), "")</f>
        <v/>
      </c>
      <c r="G107" s="2" t="str">
        <f>_xlfn.CONCAT(IF(LEN(F107)=0, CONCATENATE(D107, "([""", C107, """])"), CONCATENATE(D107,"([""",params!$B$1, "&lt;a href=""", F107, """&gt;", C107, "&lt;/a&gt;""])")), ":::", E107)</f>
        <v>knuth(["크누스 최적화"]):::tier4</v>
      </c>
    </row>
    <row r="108" spans="1:7" ht="16.5" customHeight="1">
      <c r="A108" s="2" t="s">
        <v>109</v>
      </c>
      <c r="B108" s="2" t="str">
        <f t="shared" si="2"/>
        <v>크누스_X(knuth_x)</v>
      </c>
      <c r="C108" s="2" t="str">
        <f t="shared" si="3"/>
        <v>크누스 X</v>
      </c>
      <c r="D108" s="2" t="str">
        <f xml:space="preserve"> TRIM(RIGHT(SUBSTITUTE(A108," ",REPT(" ",100)),100))</f>
        <v>knuth_x</v>
      </c>
      <c r="E108" s="2" t="str">
        <f>_xlfn.CONCAT("tier", VLOOKUP(D108,tag_diff!$A:$BL,64,FALSE))</f>
        <v>tier4</v>
      </c>
      <c r="F108" s="3" t="str">
        <f>IFERROR(VLOOKUP(RIGHT(D108, LEN(D108) - 1),'post-link-extract'!$A:$E, 5, 0), "")</f>
        <v/>
      </c>
      <c r="G108" s="2" t="str">
        <f>_xlfn.CONCAT(IF(LEN(F108)=0, CONCATENATE(D108, "([""", C108, """])"), CONCATENATE(D108,"([""",params!$B$1, "&lt;a href=""", F108, """&gt;", C108, "&lt;/a&gt;""])")), ":::", E108)</f>
        <v>knuth_x(["크누스 X"]):::tier4</v>
      </c>
    </row>
    <row r="109" spans="1:7" ht="16.5" customHeight="1">
      <c r="A109" s="2" t="s">
        <v>110</v>
      </c>
      <c r="B109" s="2" t="str">
        <f t="shared" si="2"/>
        <v>느리게_갱신되는_세그먼트_트리(lazyprop)</v>
      </c>
      <c r="C109" s="2" t="str">
        <f t="shared" si="3"/>
        <v>느리게 갱신되는 세그먼트 트리</v>
      </c>
      <c r="D109" s="2" t="str">
        <f xml:space="preserve"> TRIM(RIGHT(SUBSTITUTE(A109," ",REPT(" ",100)),100))</f>
        <v>lazyprop</v>
      </c>
      <c r="E109" s="2" t="str">
        <f>_xlfn.CONCAT("tier", VLOOKUP(D109,tag_diff!$A:$BL,64,FALSE))</f>
        <v>tier3</v>
      </c>
      <c r="F109" s="3" t="str">
        <f>IFERROR(VLOOKUP(RIGHT(D109, LEN(D109) - 1),'post-link-extract'!$A:$E, 5, 0), "")</f>
        <v/>
      </c>
      <c r="G109" s="2" t="str">
        <f>_xlfn.CONCAT(IF(LEN(F109)=0, CONCATENATE(D109, "([""", C109, """])"), CONCATENATE(D109,"([""",params!$B$1, "&lt;a href=""", F109, """&gt;", C109, "&lt;/a&gt;""])")), ":::", E109)</f>
        <v>lazyprop(["느리게 갱신되는 세그먼트 트리"]):::tier3</v>
      </c>
    </row>
    <row r="110" spans="1:7" ht="16.5" customHeight="1">
      <c r="A110" s="2" t="s">
        <v>111</v>
      </c>
      <c r="B110" s="2" t="str">
        <f t="shared" si="2"/>
        <v>최소_공통_조상(lca)</v>
      </c>
      <c r="C110" s="2" t="str">
        <f t="shared" si="3"/>
        <v>최소 공통 조상</v>
      </c>
      <c r="D110" s="2" t="str">
        <f xml:space="preserve"> TRIM(RIGHT(SUBSTITUTE(A110," ",REPT(" ",100)),100))</f>
        <v>lca</v>
      </c>
      <c r="E110" s="2" t="str">
        <f>_xlfn.CONCAT("tier", VLOOKUP(D110,tag_diff!$A:$BL,64,FALSE))</f>
        <v>tier3</v>
      </c>
      <c r="F110" s="3" t="str">
        <f>IFERROR(VLOOKUP(RIGHT(D110, LEN(D110) - 1),'post-link-extract'!$A:$E, 5, 0), "")</f>
        <v/>
      </c>
      <c r="G110" s="2" t="str">
        <f>_xlfn.CONCAT(IF(LEN(F110)=0, CONCATENATE(D110, "([""", C110, """])"), CONCATENATE(D110,"([""",params!$B$1, "&lt;a href=""", F110, """&gt;", C110, "&lt;/a&gt;""])")), ":::", E110)</f>
        <v>lca(["최소 공통 조상"]):::tier3</v>
      </c>
    </row>
    <row r="111" spans="1:7" ht="16.5" customHeight="1">
      <c r="A111" s="2" t="s">
        <v>112</v>
      </c>
      <c r="B111" s="2" t="str">
        <f t="shared" si="2"/>
        <v>린드스트롬–게셀–비엔노_보조정리(lgv)</v>
      </c>
      <c r="C111" s="2" t="str">
        <f t="shared" si="3"/>
        <v>린드스트롬–게셀–비엔노 보조정리</v>
      </c>
      <c r="D111" s="2" t="str">
        <f xml:space="preserve"> TRIM(RIGHT(SUBSTITUTE(A111," ",REPT(" ",100)),100))</f>
        <v>lgv</v>
      </c>
      <c r="E111" s="2" t="str">
        <f>_xlfn.CONCAT("tier", VLOOKUP(D111,tag_diff!$A:$BL,64,FALSE))</f>
        <v>tier5</v>
      </c>
      <c r="F111" s="3" t="str">
        <f>IFERROR(VLOOKUP(RIGHT(D111, LEN(D111) - 1),'post-link-extract'!$A:$E, 5, 0), "")</f>
        <v/>
      </c>
      <c r="G111" s="2" t="str">
        <f>_xlfn.CONCAT(IF(LEN(F111)=0, CONCATENATE(D111, "([""", C111, """])"), CONCATENATE(D111,"([""",params!$B$1, "&lt;a href=""", F111, """&gt;", C111, "&lt;/a&gt;""])")), ":::", E111)</f>
        <v>lgv(["린드스트롬–게셀–비엔노 보조정리"]):::tier5</v>
      </c>
    </row>
    <row r="112" spans="1:7" ht="16.5" customHeight="1">
      <c r="A112" s="2" t="s">
        <v>113</v>
      </c>
      <c r="B112" s="2" t="str">
        <f t="shared" si="2"/>
        <v>선분_교차_판정(line_intersection)</v>
      </c>
      <c r="C112" s="2" t="str">
        <f t="shared" si="3"/>
        <v>선분 교차 판정</v>
      </c>
      <c r="D112" s="2" t="str">
        <f xml:space="preserve"> TRIM(RIGHT(SUBSTITUTE(A112," ",REPT(" ",100)),100))</f>
        <v>line_intersection</v>
      </c>
      <c r="E112" s="2" t="str">
        <f>_xlfn.CONCAT("tier", VLOOKUP(D112,tag_diff!$A:$BL,64,FALSE))</f>
        <v>tier2</v>
      </c>
      <c r="F112" s="3" t="str">
        <f>IFERROR(VLOOKUP(RIGHT(D112, LEN(D112) - 1),'post-link-extract'!$A:$E, 5, 0), "")</f>
        <v/>
      </c>
      <c r="G112" s="2" t="str">
        <f>_xlfn.CONCAT(IF(LEN(F112)=0, CONCATENATE(D112, "([""", C112, """])"), CONCATENATE(D112,"([""",params!$B$1, "&lt;a href=""", F112, """&gt;", C112, "&lt;/a&gt;""])")), ":::", E112)</f>
        <v>line_intersection(["선분 교차 판정"]):::tier2</v>
      </c>
    </row>
    <row r="113" spans="1:7" ht="16.5" customHeight="1">
      <c r="A113" s="2" t="s">
        <v>114</v>
      </c>
      <c r="B113" s="2" t="str">
        <f t="shared" si="2"/>
        <v>선형대수학(linear_algebra)</v>
      </c>
      <c r="C113" s="2" t="str">
        <f t="shared" si="3"/>
        <v>선형대수학</v>
      </c>
      <c r="D113" s="2" t="str">
        <f xml:space="preserve"> TRIM(RIGHT(SUBSTITUTE(A113," ",REPT(" ",100)),100))</f>
        <v>linear_algebra</v>
      </c>
      <c r="E113" s="2" t="str">
        <f>_xlfn.CONCAT("tier", VLOOKUP(D113,tag_diff!$A:$BL,64,FALSE))</f>
        <v>tier3</v>
      </c>
      <c r="F113" s="3" t="str">
        <f>IFERROR(VLOOKUP(RIGHT(D113, LEN(D113) - 1),'post-link-extract'!$A:$E, 5, 0), "")</f>
        <v/>
      </c>
      <c r="G113" s="2" t="str">
        <f>_xlfn.CONCAT(IF(LEN(F113)=0, CONCATENATE(D113, "([""", C113, """])"), CONCATENATE(D113,"([""",params!$B$1, "&lt;a href=""", F113, """&gt;", C113, "&lt;/a&gt;""])")), ":::", E113)</f>
        <v>linear_algebra(["선형대수학"]):::tier3</v>
      </c>
    </row>
    <row r="114" spans="1:7" ht="16.5" customHeight="1">
      <c r="A114" s="2" t="s">
        <v>115</v>
      </c>
      <c r="B114" s="2" t="str">
        <f t="shared" si="2"/>
        <v>선형_계획법(linear_programming)</v>
      </c>
      <c r="C114" s="2" t="str">
        <f t="shared" si="3"/>
        <v>선형 계획법</v>
      </c>
      <c r="D114" s="2" t="str">
        <f xml:space="preserve"> TRIM(RIGHT(SUBSTITUTE(A114," ",REPT(" ",100)),100))</f>
        <v>linear_programming</v>
      </c>
      <c r="E114" s="2" t="str">
        <f>_xlfn.CONCAT("tier", VLOOKUP(D114,tag_diff!$A:$BL,64,FALSE))</f>
        <v>tier4</v>
      </c>
      <c r="F114" s="3" t="str">
        <f>IFERROR(VLOOKUP(RIGHT(D114, LEN(D114) - 1),'post-link-extract'!$A:$E, 5, 0), "")</f>
        <v/>
      </c>
      <c r="G114" s="2" t="str">
        <f>_xlfn.CONCAT(IF(LEN(F114)=0, CONCATENATE(D114, "([""", C114, """])"), CONCATENATE(D114,"([""",params!$B$1, "&lt;a href=""", F114, """&gt;", C114, "&lt;/a&gt;""])")), ":::", E114)</f>
        <v>linear_programming(["선형 계획법"]):::tier4</v>
      </c>
    </row>
    <row r="115" spans="1:7" ht="16.5" customHeight="1">
      <c r="A115" s="2" t="s">
        <v>116</v>
      </c>
      <c r="B115" s="2" t="str">
        <f t="shared" si="2"/>
        <v>기댓값의_선형성(linearity_of_expectation)</v>
      </c>
      <c r="C115" s="2" t="str">
        <f t="shared" si="3"/>
        <v>기댓값의 선형성</v>
      </c>
      <c r="D115" s="2" t="str">
        <f xml:space="preserve"> TRIM(RIGHT(SUBSTITUTE(A115," ",REPT(" ",100)),100))</f>
        <v>linearity_of_expectation</v>
      </c>
      <c r="E115" s="2" t="str">
        <f>_xlfn.CONCAT("tier", VLOOKUP(D115,tag_diff!$A:$BL,64,FALSE))</f>
        <v>tier2</v>
      </c>
      <c r="F115" s="3" t="str">
        <f>IFERROR(VLOOKUP(RIGHT(D115, LEN(D115) - 1),'post-link-extract'!$A:$E, 5, 0), "")</f>
        <v/>
      </c>
      <c r="G115" s="2" t="str">
        <f>_xlfn.CONCAT(IF(LEN(F115)=0, CONCATENATE(D115, "([""", C115, """])"), CONCATENATE(D115,"([""",params!$B$1, "&lt;a href=""", F115, """&gt;", C115, "&lt;/a&gt;""])")), ":::", E115)</f>
        <v>linearity_of_expectation(["기댓값의 선형성"]):::tier2</v>
      </c>
    </row>
    <row r="116" spans="1:7" ht="16.5" customHeight="1">
      <c r="A116" s="2" t="s">
        <v>117</v>
      </c>
      <c r="B116" s="2" t="str">
        <f t="shared" si="2"/>
        <v>링크/컷_트리(link_cut_tree)</v>
      </c>
      <c r="C116" s="2" t="str">
        <f t="shared" si="3"/>
        <v>링크/컷 트리</v>
      </c>
      <c r="D116" s="2" t="str">
        <f xml:space="preserve"> TRIM(RIGHT(SUBSTITUTE(A116," ",REPT(" ",100)),100))</f>
        <v>link_cut_tree</v>
      </c>
      <c r="E116" s="2" t="str">
        <f>_xlfn.CONCAT("tier", VLOOKUP(D116,tag_diff!$A:$BL,64,FALSE))</f>
        <v>tier4</v>
      </c>
      <c r="F116" s="3" t="str">
        <f>IFERROR(VLOOKUP(RIGHT(D116, LEN(D116) - 1),'post-link-extract'!$A:$E, 5, 0), "")</f>
        <v/>
      </c>
      <c r="G116" s="2" t="str">
        <f>_xlfn.CONCAT(IF(LEN(F116)=0, CONCATENATE(D116, "([""", C116, """])"), CONCATENATE(D116,"([""",params!$B$1, "&lt;a href=""", F116, """&gt;", C116, "&lt;/a&gt;""])")), ":::", E116)</f>
        <v>link_cut_tree(["링크/컷 트리"]):::tier4</v>
      </c>
    </row>
    <row r="117" spans="1:7" ht="16.5" customHeight="1">
      <c r="A117" s="2" t="s">
        <v>118</v>
      </c>
      <c r="B117" s="2" t="str">
        <f t="shared" si="2"/>
        <v>연결_리스트(linked_list)</v>
      </c>
      <c r="C117" s="2" t="str">
        <f t="shared" si="3"/>
        <v>연결 리스트</v>
      </c>
      <c r="D117" s="2" t="str">
        <f xml:space="preserve"> TRIM(RIGHT(SUBSTITUTE(A117," ",REPT(" ",100)),100))</f>
        <v>linked_list</v>
      </c>
      <c r="E117" s="2" t="str">
        <f>_xlfn.CONCAT("tier", VLOOKUP(D117,tag_diff!$A:$BL,64,FALSE))</f>
        <v>tier2</v>
      </c>
      <c r="F117" s="3" t="str">
        <f>IFERROR(VLOOKUP(RIGHT(D117, LEN(D117) - 1),'post-link-extract'!$A:$E, 5, 0), "")</f>
        <v/>
      </c>
      <c r="G117" s="2" t="str">
        <f>_xlfn.CONCAT(IF(LEN(F117)=0, CONCATENATE(D117, "([""", C117, """])"), CONCATENATE(D117,"([""",params!$B$1, "&lt;a href=""", F117, """&gt;", C117, "&lt;/a&gt;""])")), ":::", E117)</f>
        <v>linked_list(["연결 리스트"]):::tier2</v>
      </c>
    </row>
    <row r="118" spans="1:7" ht="16.5" customHeight="1">
      <c r="A118" s="2" t="s">
        <v>119</v>
      </c>
      <c r="B118" s="2" t="str">
        <f t="shared" si="2"/>
        <v>가장_긴_증가하는_부분_수열:_O(n_log_n)(lis)</v>
      </c>
      <c r="C118" s="2" t="str">
        <f t="shared" si="3"/>
        <v>가장 긴 증가하는 부분 수열: O(n log n)</v>
      </c>
      <c r="D118" s="2" t="str">
        <f xml:space="preserve"> TRIM(RIGHT(SUBSTITUTE(A118," ",REPT(" ",100)),100))</f>
        <v>lis</v>
      </c>
      <c r="E118" s="2" t="str">
        <f>_xlfn.CONCAT("tier", VLOOKUP(D118,tag_diff!$A:$BL,64,FALSE))</f>
        <v>tier2</v>
      </c>
      <c r="F118" s="3" t="str">
        <f>IFERROR(VLOOKUP(RIGHT(D118, LEN(D118) - 1),'post-link-extract'!$A:$E, 5, 0), "")</f>
        <v/>
      </c>
      <c r="G118" s="2" t="str">
        <f>_xlfn.CONCAT(IF(LEN(F118)=0, CONCATENATE(D118, "([""", C118, """])"), CONCATENATE(D118,"([""",params!$B$1, "&lt;a href=""", F118, """&gt;", C118, "&lt;/a&gt;""])")), ":::", E118)</f>
        <v>lis(["가장 긴 증가하는 부분 수열: O(n log n)"]):::tier2</v>
      </c>
    </row>
    <row r="119" spans="1:7" ht="16.5" customHeight="1">
      <c r="A119" s="2" t="s">
        <v>120</v>
      </c>
      <c r="B119" s="2" t="str">
        <f t="shared" si="2"/>
        <v>지수승강_보조정리(lte)</v>
      </c>
      <c r="C119" s="2" t="str">
        <f t="shared" si="3"/>
        <v>지수승강 보조정리</v>
      </c>
      <c r="D119" s="2" t="str">
        <f xml:space="preserve"> TRIM(RIGHT(SUBSTITUTE(A119," ",REPT(" ",100)),100))</f>
        <v>lte</v>
      </c>
      <c r="E119" s="2" t="str">
        <f>_xlfn.CONCAT("tier", VLOOKUP(D119,tag_diff!$A:$BL,64,FALSE))</f>
        <v>tier4</v>
      </c>
      <c r="F119" s="3" t="str">
        <f>IFERROR(VLOOKUP(RIGHT(D119, LEN(D119) - 1),'post-link-extract'!$A:$E, 5, 0), "")</f>
        <v/>
      </c>
      <c r="G119" s="2" t="str">
        <f>_xlfn.CONCAT(IF(LEN(F119)=0, CONCATENATE(D119, "([""", C119, """])"), CONCATENATE(D119,"([""",params!$B$1, "&lt;a href=""", F119, """&gt;", C119, "&lt;/a&gt;""])")), ":::", E119)</f>
        <v>lte(["지수승강 보조정리"]):::tier4</v>
      </c>
    </row>
    <row r="120" spans="1:7" ht="16.5" customHeight="1">
      <c r="A120" s="2" t="s">
        <v>121</v>
      </c>
      <c r="B120" s="2" t="str">
        <f t="shared" si="2"/>
        <v>뤼카_정리(lucas)</v>
      </c>
      <c r="C120" s="2" t="str">
        <f t="shared" si="3"/>
        <v>뤼카 정리</v>
      </c>
      <c r="D120" s="2" t="str">
        <f xml:space="preserve"> TRIM(RIGHT(SUBSTITUTE(A120," ",REPT(" ",100)),100))</f>
        <v>lucas</v>
      </c>
      <c r="E120" s="2" t="str">
        <f>_xlfn.CONCAT("tier", VLOOKUP(D120,tag_diff!$A:$BL,64,FALSE))</f>
        <v>tier3</v>
      </c>
      <c r="F120" s="3" t="str">
        <f>IFERROR(VLOOKUP(RIGHT(D120, LEN(D120) - 1),'post-link-extract'!$A:$E, 5, 0), "")</f>
        <v/>
      </c>
      <c r="G120" s="2" t="str">
        <f>_xlfn.CONCAT(IF(LEN(F120)=0, CONCATENATE(D120, "([""", C120, """])"), CONCATENATE(D120,"([""",params!$B$1, "&lt;a href=""", F120, """&gt;", C120, "&lt;/a&gt;""])")), ":::", E120)</f>
        <v>lucas(["뤼카 정리"]):::tier3</v>
      </c>
    </row>
    <row r="121" spans="1:7" ht="16.5" customHeight="1">
      <c r="A121" s="2" t="s">
        <v>122</v>
      </c>
      <c r="B121" s="2" t="str">
        <f t="shared" si="2"/>
        <v>보이어–무어_다수결_투표(majority_vote)</v>
      </c>
      <c r="C121" s="2" t="str">
        <f t="shared" si="3"/>
        <v>보이어–무어 다수결 투표</v>
      </c>
      <c r="D121" s="2" t="str">
        <f xml:space="preserve"> TRIM(RIGHT(SUBSTITUTE(A121," ",REPT(" ",100)),100))</f>
        <v>majority_vote</v>
      </c>
      <c r="E121" s="2" t="str">
        <f>_xlfn.CONCAT("tier", VLOOKUP(D121,tag_diff!$A:$BL,64,FALSE))</f>
        <v>tier2</v>
      </c>
      <c r="F121" s="3" t="str">
        <f>IFERROR(VLOOKUP(RIGHT(D121, LEN(D121) - 1),'post-link-extract'!$A:$E, 5, 0), "")</f>
        <v/>
      </c>
      <c r="G121" s="2" t="str">
        <f>_xlfn.CONCAT(IF(LEN(F121)=0, CONCATENATE(D121, "([""", C121, """])"), CONCATENATE(D121,"([""",params!$B$1, "&lt;a href=""", F121, """&gt;", C121, "&lt;/a&gt;""])")), ":::", E121)</f>
        <v>majority_vote(["보이어–무어 다수결 투표"]):::tier2</v>
      </c>
    </row>
    <row r="122" spans="1:7" ht="16.5" customHeight="1">
      <c r="A122" s="2" t="s">
        <v>123</v>
      </c>
      <c r="B122" s="2" t="str">
        <f t="shared" si="2"/>
        <v>매내처(manacher)</v>
      </c>
      <c r="C122" s="2" t="str">
        <f t="shared" si="3"/>
        <v>매내처</v>
      </c>
      <c r="D122" s="2" t="str">
        <f xml:space="preserve"> TRIM(RIGHT(SUBSTITUTE(A122," ",REPT(" ",100)),100))</f>
        <v>manacher</v>
      </c>
      <c r="E122" s="2" t="str">
        <f>_xlfn.CONCAT("tier", VLOOKUP(D122,tag_diff!$A:$BL,64,FALSE))</f>
        <v>tier3</v>
      </c>
      <c r="F122" s="3" t="str">
        <f>IFERROR(VLOOKUP(RIGHT(D122, LEN(D122) - 1),'post-link-extract'!$A:$E, 5, 0), "")</f>
        <v/>
      </c>
      <c r="G122" s="2" t="str">
        <f>_xlfn.CONCAT(IF(LEN(F122)=0, CONCATENATE(D122, "([""", C122, """])"), CONCATENATE(D122,"([""",params!$B$1, "&lt;a href=""", F122, """&gt;", C122, "&lt;/a&gt;""])")), ":::", E122)</f>
        <v>manacher(["매내처"]):::tier3</v>
      </c>
    </row>
    <row r="123" spans="1:7" ht="16.5" customHeight="1">
      <c r="A123" s="2" t="s">
        <v>124</v>
      </c>
      <c r="B123" s="2" t="str">
        <f t="shared" si="2"/>
        <v>수학(math)</v>
      </c>
      <c r="C123" s="2" t="str">
        <f t="shared" si="3"/>
        <v>수학</v>
      </c>
      <c r="D123" s="2" t="str">
        <f xml:space="preserve"> TRIM(RIGHT(SUBSTITUTE(A123," ",REPT(" ",100)),100))</f>
        <v>math</v>
      </c>
      <c r="E123" s="2" t="str">
        <f>_xlfn.CONCAT("tier", VLOOKUP(D123,tag_diff!$A:$BL,64,FALSE))</f>
        <v>tier1</v>
      </c>
      <c r="F123" s="3" t="str">
        <f>IFERROR(VLOOKUP(RIGHT(D123, LEN(D123) - 1),'post-link-extract'!$A:$E, 5, 0), "")</f>
        <v/>
      </c>
      <c r="G123" s="2" t="str">
        <f>_xlfn.CONCAT(IF(LEN(F123)=0, CONCATENATE(D123, "([""", C123, """])"), CONCATENATE(D123,"([""",params!$B$1, "&lt;a href=""", F123, """&gt;", C123, "&lt;/a&gt;""])")), ":::", E123)</f>
        <v>math(["수학"]):::tier1</v>
      </c>
    </row>
    <row r="124" spans="1:7" ht="16.5" customHeight="1">
      <c r="A124" s="2" t="s">
        <v>125</v>
      </c>
      <c r="B124" s="2" t="str">
        <f t="shared" si="2"/>
        <v>매트로이드(matroid)</v>
      </c>
      <c r="C124" s="2" t="str">
        <f t="shared" si="3"/>
        <v>매트로이드</v>
      </c>
      <c r="D124" s="2" t="str">
        <f xml:space="preserve"> TRIM(RIGHT(SUBSTITUTE(A124," ",REPT(" ",100)),100))</f>
        <v>matroid</v>
      </c>
      <c r="E124" s="2" t="str">
        <f>_xlfn.CONCAT("tier", VLOOKUP(D124,tag_diff!$A:$BL,64,FALSE))</f>
        <v>tier5</v>
      </c>
      <c r="F124" s="3" t="str">
        <f>IFERROR(VLOOKUP(RIGHT(D124, LEN(D124) - 1),'post-link-extract'!$A:$E, 5, 0), "")</f>
        <v/>
      </c>
      <c r="G124" s="2" t="str">
        <f>_xlfn.CONCAT(IF(LEN(F124)=0, CONCATENATE(D124, "([""", C124, """])"), CONCATENATE(D124,"([""",params!$B$1, "&lt;a href=""", F124, """&gt;", C124, "&lt;/a&gt;""])")), ":::", E124)</f>
        <v>matroid(["매트로이드"]):::tier5</v>
      </c>
    </row>
    <row r="125" spans="1:7" ht="16.5" customHeight="1">
      <c r="A125" s="2" t="s">
        <v>126</v>
      </c>
      <c r="B125" s="2" t="str">
        <f t="shared" si="2"/>
        <v>최소_비용_최대_유량(mcmf)</v>
      </c>
      <c r="C125" s="2" t="str">
        <f t="shared" si="3"/>
        <v>최소 비용 최대 유량</v>
      </c>
      <c r="D125" s="2" t="str">
        <f xml:space="preserve"> TRIM(RIGHT(SUBSTITUTE(A125," ",REPT(" ",100)),100))</f>
        <v>mcmf</v>
      </c>
      <c r="E125" s="2" t="str">
        <f>_xlfn.CONCAT("tier", VLOOKUP(D125,tag_diff!$A:$BL,64,FALSE))</f>
        <v>tier3</v>
      </c>
      <c r="F125" s="3" t="str">
        <f>IFERROR(VLOOKUP(RIGHT(D125, LEN(D125) - 1),'post-link-extract'!$A:$E, 5, 0), "")</f>
        <v/>
      </c>
      <c r="G125" s="2" t="str">
        <f>_xlfn.CONCAT(IF(LEN(F125)=0, CONCATENATE(D125, "([""", C125, """])"), CONCATENATE(D125,"([""",params!$B$1, "&lt;a href=""", F125, """&gt;", C125, "&lt;/a&gt;""])")), ":::", E125)</f>
        <v>mcmf(["최소 비용 최대 유량"]):::tier3</v>
      </c>
    </row>
    <row r="126" spans="1:7" ht="16.5" customHeight="1">
      <c r="A126" s="2" t="s">
        <v>127</v>
      </c>
      <c r="B126" s="2" t="str">
        <f t="shared" si="2"/>
        <v>머지_소트_트리(merge_sort_tree)</v>
      </c>
      <c r="C126" s="2" t="str">
        <f t="shared" si="3"/>
        <v>머지 소트 트리</v>
      </c>
      <c r="D126" s="2" t="str">
        <f xml:space="preserve"> TRIM(RIGHT(SUBSTITUTE(A126," ",REPT(" ",100)),100))</f>
        <v>merge_sort_tree</v>
      </c>
      <c r="E126" s="2" t="str">
        <f>_xlfn.CONCAT("tier", VLOOKUP(D126,tag_diff!$A:$BL,64,FALSE))</f>
        <v>tier3</v>
      </c>
      <c r="F126" s="3" t="str">
        <f>IFERROR(VLOOKUP(RIGHT(D126, LEN(D126) - 1),'post-link-extract'!$A:$E, 5, 0), "")</f>
        <v/>
      </c>
      <c r="G126" s="2" t="str">
        <f>_xlfn.CONCAT(IF(LEN(F126)=0, CONCATENATE(D126, "([""", C126, """])"), CONCATENATE(D126,"([""",params!$B$1, "&lt;a href=""", F126, """&gt;", C126, "&lt;/a&gt;""])")), ":::", E126)</f>
        <v>merge_sort_tree(["머지 소트 트리"]):::tier3</v>
      </c>
    </row>
    <row r="127" spans="1:7" ht="16.5" customHeight="1">
      <c r="A127" s="2" t="s">
        <v>128</v>
      </c>
      <c r="B127" s="2" t="str">
        <f t="shared" si="2"/>
        <v>최대_유량_최소_컷_정리(mfmc)</v>
      </c>
      <c r="C127" s="2" t="str">
        <f t="shared" si="3"/>
        <v>최대 유량 최소 컷 정리</v>
      </c>
      <c r="D127" s="2" t="str">
        <f xml:space="preserve"> TRIM(RIGHT(SUBSTITUTE(A127," ",REPT(" ",100)),100))</f>
        <v>mfmc</v>
      </c>
      <c r="E127" s="2" t="str">
        <f>_xlfn.CONCAT("tier", VLOOKUP(D127,tag_diff!$A:$BL,64,FALSE))</f>
        <v>tier3</v>
      </c>
      <c r="F127" s="3" t="str">
        <f>IFERROR(VLOOKUP(RIGHT(D127, LEN(D127) - 1),'post-link-extract'!$A:$E, 5, 0), "")</f>
        <v/>
      </c>
      <c r="G127" s="2" t="str">
        <f>_xlfn.CONCAT(IF(LEN(F127)=0, CONCATENATE(D127, "([""", C127, """])"), CONCATENATE(D127,"([""",params!$B$1, "&lt;a href=""", F127, """&gt;", C127, "&lt;/a&gt;""])")), ":::", E127)</f>
        <v>mfmc(["최대 유량 최소 컷 정리"]):::tier3</v>
      </c>
    </row>
    <row r="128" spans="1:7" ht="16.5" customHeight="1">
      <c r="A128" s="2" t="s">
        <v>129</v>
      </c>
      <c r="B128" s="2" t="str">
        <f t="shared" si="2"/>
        <v>밀러–라빈_소수_판별법(miller_rabin)</v>
      </c>
      <c r="C128" s="2" t="str">
        <f t="shared" si="3"/>
        <v>밀러–라빈 소수 판별법</v>
      </c>
      <c r="D128" s="2" t="str">
        <f xml:space="preserve"> TRIM(RIGHT(SUBSTITUTE(A128," ",REPT(" ",100)),100))</f>
        <v>miller_rabin</v>
      </c>
      <c r="E128" s="2" t="str">
        <f>_xlfn.CONCAT("tier", VLOOKUP(D128,tag_diff!$A:$BL,64,FALSE))</f>
        <v>tier3</v>
      </c>
      <c r="F128" s="3" t="str">
        <f>IFERROR(VLOOKUP(RIGHT(D128, LEN(D128) - 1),'post-link-extract'!$A:$E, 5, 0), "")</f>
        <v/>
      </c>
      <c r="G128" s="2" t="str">
        <f>_xlfn.CONCAT(IF(LEN(F128)=0, CONCATENATE(D128, "([""", C128, """])"), CONCATENATE(D128,"([""",params!$B$1, "&lt;a href=""", F128, """&gt;", C128, "&lt;/a&gt;""])")), ":::", E128)</f>
        <v>miller_rabin(["밀러–라빈 소수 판별법"]):::tier3</v>
      </c>
    </row>
    <row r="129" spans="1:7" ht="16.5" customHeight="1">
      <c r="A129" s="2" t="s">
        <v>130</v>
      </c>
      <c r="B129" s="2" t="str">
        <f t="shared" si="2"/>
        <v>최소_외접원(min_enclosing_circle)</v>
      </c>
      <c r="C129" s="2" t="str">
        <f t="shared" si="3"/>
        <v>최소 외접원</v>
      </c>
      <c r="D129" s="2" t="str">
        <f xml:space="preserve"> TRIM(RIGHT(SUBSTITUTE(A129," ",REPT(" ",100)),100))</f>
        <v>min_enclosing_circle</v>
      </c>
      <c r="E129" s="2" t="str">
        <f>_xlfn.CONCAT("tier", VLOOKUP(D129,tag_diff!$A:$BL,64,FALSE))</f>
        <v>tier3</v>
      </c>
      <c r="F129" s="3" t="str">
        <f>IFERROR(VLOOKUP(RIGHT(D129, LEN(D129) - 1),'post-link-extract'!$A:$E, 5, 0), "")</f>
        <v/>
      </c>
      <c r="G129" s="2" t="str">
        <f>_xlfn.CONCAT(IF(LEN(F129)=0, CONCATENATE(D129, "([""", C129, """])"), CONCATENATE(D129,"([""",params!$B$1, "&lt;a href=""", F129, """&gt;", C129, "&lt;/a&gt;""])")), ":::", E129)</f>
        <v>min_enclosing_circle(["최소 외접원"]):::tier3</v>
      </c>
    </row>
    <row r="130" spans="1:7" ht="16.5" customHeight="1">
      <c r="A130" s="2" t="s">
        <v>131</v>
      </c>
      <c r="B130" s="2" t="str">
        <f t="shared" si="2"/>
        <v>중간에서_만나기(mitm)</v>
      </c>
      <c r="C130" s="2" t="str">
        <f t="shared" si="3"/>
        <v>중간에서 만나기</v>
      </c>
      <c r="D130" s="2" t="str">
        <f xml:space="preserve"> TRIM(RIGHT(SUBSTITUTE(A130," ",REPT(" ",100)),100))</f>
        <v>mitm</v>
      </c>
      <c r="E130" s="2" t="str">
        <f>_xlfn.CONCAT("tier", VLOOKUP(D130,tag_diff!$A:$BL,64,FALSE))</f>
        <v>tier2</v>
      </c>
      <c r="F130" s="3" t="str">
        <f>IFERROR(VLOOKUP(RIGHT(D130, LEN(D130) - 1),'post-link-extract'!$A:$E, 5, 0), "")</f>
        <v/>
      </c>
      <c r="G130" s="2" t="str">
        <f>_xlfn.CONCAT(IF(LEN(F130)=0, CONCATENATE(D130, "([""", C130, """])"), CONCATENATE(D130,"([""",params!$B$1, "&lt;a href=""", F130, """&gt;", C130, "&lt;/a&gt;""])")), ":::", E130)</f>
        <v>mitm(["중간에서 만나기"]):::tier2</v>
      </c>
    </row>
    <row r="131" spans="1:7" ht="16.5" customHeight="1">
      <c r="A131" s="2" t="s">
        <v>132</v>
      </c>
      <c r="B131" s="2" t="str">
        <f t="shared" ref="B131:B194" si="4">_xlfn.CONCAT(SUBSTITUTE(C131, " ", "_"),"(",D131,")")</f>
        <v>mo's(mo)</v>
      </c>
      <c r="C131" s="2" t="str">
        <f t="shared" ref="C131:C194" si="5">MID(A131, 2, LEN(A131) - LEN(D131) - 2)</f>
        <v>mo's</v>
      </c>
      <c r="D131" s="2" t="str">
        <f xml:space="preserve"> TRIM(RIGHT(SUBSTITUTE(A131," ",REPT(" ",100)),100))</f>
        <v>mo</v>
      </c>
      <c r="E131" s="2" t="str">
        <f>_xlfn.CONCAT("tier", VLOOKUP(D131,tag_diff!$A:$BL,64,FALSE))</f>
        <v>tier3</v>
      </c>
      <c r="F131" s="3" t="str">
        <f>IFERROR(VLOOKUP(RIGHT(D131, LEN(D131) - 1),'post-link-extract'!$A:$E, 5, 0), "")</f>
        <v/>
      </c>
      <c r="G131" s="2" t="str">
        <f>_xlfn.CONCAT(IF(LEN(F131)=0, CONCATENATE(D131, "([""", C131, """])"), CONCATENATE(D131,"([""",params!$B$1, "&lt;a href=""", F131, """&gt;", C131, "&lt;/a&gt;""])")), ":::", E131)</f>
        <v>mo(["mo's"]):::tier3</v>
      </c>
    </row>
    <row r="132" spans="1:7" ht="16.5" customHeight="1">
      <c r="A132" s="2" t="s">
        <v>133</v>
      </c>
      <c r="B132" s="2" t="str">
        <f t="shared" si="4"/>
        <v>뫼비우스_반전_공식(mobius_inversion)</v>
      </c>
      <c r="C132" s="2" t="str">
        <f t="shared" si="5"/>
        <v>뫼비우스 반전 공식</v>
      </c>
      <c r="D132" s="2" t="str">
        <f xml:space="preserve"> TRIM(RIGHT(SUBSTITUTE(A132," ",REPT(" ",100)),100))</f>
        <v>mobius_inversion</v>
      </c>
      <c r="E132" s="2" t="str">
        <f>_xlfn.CONCAT("tier", VLOOKUP(D132,tag_diff!$A:$BL,64,FALSE))</f>
        <v>tier4</v>
      </c>
      <c r="F132" s="3" t="str">
        <f>IFERROR(VLOOKUP(RIGHT(D132, LEN(D132) - 1),'post-link-extract'!$A:$E, 5, 0), "")</f>
        <v/>
      </c>
      <c r="G132" s="2" t="str">
        <f>_xlfn.CONCAT(IF(LEN(F132)=0, CONCATENATE(D132, "([""", C132, """])"), CONCATENATE(D132,"([""",params!$B$1, "&lt;a href=""", F132, """&gt;", C132, "&lt;/a&gt;""])")), ":::", E132)</f>
        <v>mobius_inversion(["뫼비우스 반전 공식"]):::tier4</v>
      </c>
    </row>
    <row r="133" spans="1:7" ht="16.5" customHeight="1">
      <c r="A133" s="2" t="s">
        <v>134</v>
      </c>
      <c r="B133" s="2" t="str">
        <f t="shared" si="4"/>
        <v>모듈로_곱셈_역원(modular_multiplicative_inverse)</v>
      </c>
      <c r="C133" s="2" t="str">
        <f t="shared" si="5"/>
        <v>모듈로 곱셈 역원</v>
      </c>
      <c r="D133" s="2" t="str">
        <f xml:space="preserve"> TRIM(RIGHT(SUBSTITUTE(A133," ",REPT(" ",100)),100))</f>
        <v>modular_multiplicative_inverse</v>
      </c>
      <c r="E133" s="2" t="str">
        <f>_xlfn.CONCAT("tier", VLOOKUP(D133,tag_diff!$A:$BL,64,FALSE))</f>
        <v>tier2</v>
      </c>
      <c r="F133" s="3" t="str">
        <f>IFERROR(VLOOKUP(RIGHT(D133, LEN(D133) - 1),'post-link-extract'!$A:$E, 5, 0), "")</f>
        <v/>
      </c>
      <c r="G133" s="2" t="str">
        <f>_xlfn.CONCAT(IF(LEN(F133)=0, CONCATENATE(D133, "([""", C133, """])"), CONCATENATE(D133,"([""",params!$B$1, "&lt;a href=""", F133, """&gt;", C133, "&lt;/a&gt;""])")), ":::", E133)</f>
        <v>modular_multiplicative_inverse(["모듈로 곱셈 역원"]):::tier2</v>
      </c>
    </row>
    <row r="134" spans="1:7" ht="16.5" customHeight="1">
      <c r="A134" s="2" t="s">
        <v>135</v>
      </c>
      <c r="B134" s="2" t="str">
        <f t="shared" si="4"/>
        <v>단조_큐를_이용한_최적화(monotone_queue_optimization)</v>
      </c>
      <c r="C134" s="2" t="str">
        <f t="shared" si="5"/>
        <v>단조 큐를 이용한 최적화</v>
      </c>
      <c r="D134" s="2" t="str">
        <f xml:space="preserve"> TRIM(RIGHT(SUBSTITUTE(A134," ",REPT(" ",100)),100))</f>
        <v>monotone_queue_optimization</v>
      </c>
      <c r="E134" s="2" t="str">
        <f>_xlfn.CONCAT("tier", VLOOKUP(D134,tag_diff!$A:$BL,64,FALSE))</f>
        <v>tier4</v>
      </c>
      <c r="F134" s="3" t="str">
        <f>IFERROR(VLOOKUP(RIGHT(D134, LEN(D134) - 1),'post-link-extract'!$A:$E, 5, 0), "")</f>
        <v/>
      </c>
      <c r="G134" s="2" t="str">
        <f>_xlfn.CONCAT(IF(LEN(F134)=0, CONCATENATE(D134, "([""", C134, """])"), CONCATENATE(D134,"([""",params!$B$1, "&lt;a href=""", F134, """&gt;", C134, "&lt;/a&gt;""])")), ":::", E134)</f>
        <v>monotone_queue_optimization(["단조 큐를 이용한 최적화"]):::tier4</v>
      </c>
    </row>
    <row r="135" spans="1:7" ht="16.5" customHeight="1">
      <c r="A135" s="2" t="s">
        <v>136</v>
      </c>
      <c r="B135" s="2" t="str">
        <f t="shared" si="4"/>
        <v>최소_스패닝_트리(mst)</v>
      </c>
      <c r="C135" s="2" t="str">
        <f t="shared" si="5"/>
        <v>최소 스패닝 트리</v>
      </c>
      <c r="D135" s="2" t="str">
        <f xml:space="preserve"> TRIM(RIGHT(SUBSTITUTE(A135," ",REPT(" ",100)),100))</f>
        <v>mst</v>
      </c>
      <c r="E135" s="2" t="str">
        <f>_xlfn.CONCAT("tier", VLOOKUP(D135,tag_diff!$A:$BL,64,FALSE))</f>
        <v>tier2</v>
      </c>
      <c r="F135" s="3" t="str">
        <f>IFERROR(VLOOKUP(RIGHT(D135, LEN(D135) - 1),'post-link-extract'!$A:$E, 5, 0), "")</f>
        <v/>
      </c>
      <c r="G135" s="2" t="str">
        <f>_xlfn.CONCAT(IF(LEN(F135)=0, CONCATENATE(D135, "([""", C135, """])"), CONCATENATE(D135,"([""",params!$B$1, "&lt;a href=""", F135, """&gt;", C135, "&lt;/a&gt;""])")), ":::", E135)</f>
        <v>mst(["최소 스패닝 트리"]):::tier2</v>
      </c>
    </row>
    <row r="136" spans="1:7" ht="16.5" customHeight="1">
      <c r="A136" s="2" t="s">
        <v>137</v>
      </c>
      <c r="B136" s="2" t="str">
        <f t="shared" si="4"/>
        <v>다차원_세그먼트_트리(multi_segtree)</v>
      </c>
      <c r="C136" s="2" t="str">
        <f t="shared" si="5"/>
        <v>다차원 세그먼트 트리</v>
      </c>
      <c r="D136" s="2" t="str">
        <f xml:space="preserve"> TRIM(RIGHT(SUBSTITUTE(A136," ",REPT(" ",100)),100))</f>
        <v>multi_segtree</v>
      </c>
      <c r="E136" s="2" t="str">
        <f>_xlfn.CONCAT("tier", VLOOKUP(D136,tag_diff!$A:$BL,64,FALSE))</f>
        <v>tier3</v>
      </c>
      <c r="F136" s="3" t="str">
        <f>IFERROR(VLOOKUP(RIGHT(D136, LEN(D136) - 1),'post-link-extract'!$A:$E, 5, 0), "")</f>
        <v/>
      </c>
      <c r="G136" s="2" t="str">
        <f>_xlfn.CONCAT(IF(LEN(F136)=0, CONCATENATE(D136, "([""", C136, """])"), CONCATENATE(D136,"([""",params!$B$1, "&lt;a href=""", F136, """&gt;", C136, "&lt;/a&gt;""])")), ":::", E136)</f>
        <v>multi_segtree(["다차원 세그먼트 트리"]):::tier3</v>
      </c>
    </row>
    <row r="137" spans="1:7" ht="16.5" customHeight="1">
      <c r="A137" s="2" t="s">
        <v>138</v>
      </c>
      <c r="B137" s="2" t="str">
        <f t="shared" si="4"/>
        <v>다중_대입값_계산(multipoint_evaluation)</v>
      </c>
      <c r="C137" s="2" t="str">
        <f t="shared" si="5"/>
        <v>다중 대입값 계산</v>
      </c>
      <c r="D137" s="2" t="str">
        <f xml:space="preserve"> TRIM(RIGHT(SUBSTITUTE(A137," ",REPT(" ",100)),100))</f>
        <v>multipoint_evaluation</v>
      </c>
      <c r="E137" s="2" t="str">
        <f>_xlfn.CONCAT("tier", VLOOKUP(D137,tag_diff!$A:$BL,64,FALSE))</f>
        <v>tier5</v>
      </c>
      <c r="F137" s="3" t="str">
        <f>IFERROR(VLOOKUP(RIGHT(D137, LEN(D137) - 1),'post-link-extract'!$A:$E, 5, 0), "")</f>
        <v/>
      </c>
      <c r="G137" s="2" t="str">
        <f>_xlfn.CONCAT(IF(LEN(F137)=0, CONCATENATE(D137, "([""", C137, """])"), CONCATENATE(D137,"([""",params!$B$1, "&lt;a href=""", F137, """&gt;", C137, "&lt;/a&gt;""])")), ":::", E137)</f>
        <v>multipoint_evaluation(["다중 대입값 계산"]):::tier5</v>
      </c>
    </row>
    <row r="138" spans="1:7" ht="16.5" customHeight="1">
      <c r="A138" s="2" t="s">
        <v>139</v>
      </c>
      <c r="B138" s="2" t="str">
        <f t="shared" si="4"/>
        <v>정수론(number_theory)</v>
      </c>
      <c r="C138" s="2" t="str">
        <f t="shared" si="5"/>
        <v>정수론</v>
      </c>
      <c r="D138" s="2" t="str">
        <f xml:space="preserve"> TRIM(RIGHT(SUBSTITUTE(A138," ",REPT(" ",100)),100))</f>
        <v>number_theory</v>
      </c>
      <c r="E138" s="2" t="str">
        <f>_xlfn.CONCAT("tier", VLOOKUP(D138,tag_diff!$A:$BL,64,FALSE))</f>
        <v>tier1</v>
      </c>
      <c r="F138" s="3" t="str">
        <f>IFERROR(VLOOKUP(RIGHT(D138, LEN(D138) - 1),'post-link-extract'!$A:$E, 5, 0), "")</f>
        <v/>
      </c>
      <c r="G138" s="2" t="str">
        <f>_xlfn.CONCAT(IF(LEN(F138)=0, CONCATENATE(D138, "([""", C138, """])"), CONCATENATE(D138,"([""",params!$B$1, "&lt;a href=""", F138, """&gt;", C138, "&lt;/a&gt;""])")), ":::", E138)</f>
        <v>number_theory(["정수론"]):::tier1</v>
      </c>
    </row>
    <row r="139" spans="1:7" ht="16.5" customHeight="1">
      <c r="A139" s="2" t="s">
        <v>140</v>
      </c>
      <c r="B139" s="2" t="str">
        <f t="shared" si="4"/>
        <v>수치해석(numerical_analysis)</v>
      </c>
      <c r="C139" s="2" t="str">
        <f t="shared" si="5"/>
        <v>수치해석</v>
      </c>
      <c r="D139" s="2" t="str">
        <f xml:space="preserve"> TRIM(RIGHT(SUBSTITUTE(A139," ",REPT(" ",100)),100))</f>
        <v>numerical_analysis</v>
      </c>
      <c r="E139" s="2" t="str">
        <f>_xlfn.CONCAT("tier", VLOOKUP(D139,tag_diff!$A:$BL,64,FALSE))</f>
        <v>tier3</v>
      </c>
      <c r="F139" s="3" t="str">
        <f>IFERROR(VLOOKUP(RIGHT(D139, LEN(D139) - 1),'post-link-extract'!$A:$E, 5, 0), "")</f>
        <v/>
      </c>
      <c r="G139" s="2" t="str">
        <f>_xlfn.CONCAT(IF(LEN(F139)=0, CONCATENATE(D139, "([""", C139, """])"), CONCATENATE(D139,"([""",params!$B$1, "&lt;a href=""", F139, """&gt;", C139, "&lt;/a&gt;""])")), ":::", E139)</f>
        <v>numerical_analysis(["수치해석"]):::tier3</v>
      </c>
    </row>
    <row r="140" spans="1:7" ht="16.5" customHeight="1">
      <c r="A140" s="2" t="s">
        <v>141</v>
      </c>
      <c r="B140" s="2" t="str">
        <f t="shared" si="4"/>
        <v>오프라인_동적_연결성_판정(offline_dynamic_connectivity)</v>
      </c>
      <c r="C140" s="2" t="str">
        <f t="shared" si="5"/>
        <v>오프라인 동적 연결성 판정</v>
      </c>
      <c r="D140" s="2" t="str">
        <f xml:space="preserve"> TRIM(RIGHT(SUBSTITUTE(A140," ",REPT(" ",100)),100))</f>
        <v>offline_dynamic_connectivity</v>
      </c>
      <c r="E140" s="2" t="str">
        <f>_xlfn.CONCAT("tier", VLOOKUP(D140,tag_diff!$A:$BL,64,FALSE))</f>
        <v>tier4</v>
      </c>
      <c r="F140" s="3" t="str">
        <f>IFERROR(VLOOKUP(RIGHT(D140, LEN(D140) - 1),'post-link-extract'!$A:$E, 5, 0), "")</f>
        <v/>
      </c>
      <c r="G140" s="2" t="str">
        <f>_xlfn.CONCAT(IF(LEN(F140)=0, CONCATENATE(D140, "([""", C140, """])"), CONCATENATE(D140,"([""",params!$B$1, "&lt;a href=""", F140, """&gt;", C140, "&lt;/a&gt;""])")), ":::", E140)</f>
        <v>offline_dynamic_connectivity(["오프라인 동적 연결성 판정"]):::tier4</v>
      </c>
    </row>
    <row r="141" spans="1:7" ht="16.5" customHeight="1">
      <c r="A141" s="2" t="s">
        <v>142</v>
      </c>
      <c r="B141" s="2" t="str">
        <f t="shared" si="4"/>
        <v>오프라인_쿼리(offline_queries)</v>
      </c>
      <c r="C141" s="2" t="str">
        <f t="shared" si="5"/>
        <v>오프라인 쿼리</v>
      </c>
      <c r="D141" s="2" t="str">
        <f xml:space="preserve"> TRIM(RIGHT(SUBSTITUTE(A141," ",REPT(" ",100)),100))</f>
        <v>offline_queries</v>
      </c>
      <c r="E141" s="2" t="str">
        <f>_xlfn.CONCAT("tier", VLOOKUP(D141,tag_diff!$A:$BL,64,FALSE))</f>
        <v>tier3</v>
      </c>
      <c r="F141" s="3" t="str">
        <f>IFERROR(VLOOKUP(RIGHT(D141, LEN(D141) - 1),'post-link-extract'!$A:$E, 5, 0), "")</f>
        <v/>
      </c>
      <c r="G141" s="2" t="str">
        <f>_xlfn.CONCAT(IF(LEN(F141)=0, CONCATENATE(D141, "([""", C141, """])"), CONCATENATE(D141,"([""",params!$B$1, "&lt;a href=""", F141, """&gt;", C141, "&lt;/a&gt;""])")), ":::", E141)</f>
        <v>offline_queries(["오프라인 쿼리"]):::tier3</v>
      </c>
    </row>
    <row r="142" spans="1:7" ht="16.5" customHeight="1">
      <c r="A142" s="2" t="s">
        <v>143</v>
      </c>
      <c r="B142" s="2" t="str">
        <f t="shared" si="4"/>
        <v>회문_트리(palindrome_tree)</v>
      </c>
      <c r="C142" s="2" t="str">
        <f t="shared" si="5"/>
        <v>회문 트리</v>
      </c>
      <c r="D142" s="2" t="str">
        <f xml:space="preserve"> TRIM(RIGHT(SUBSTITUTE(A142," ",REPT(" ",100)),100))</f>
        <v>palindrome_tree</v>
      </c>
      <c r="E142" s="2" t="str">
        <f>_xlfn.CONCAT("tier", VLOOKUP(D142,tag_diff!$A:$BL,64,FALSE))</f>
        <v>tier4</v>
      </c>
      <c r="F142" s="3" t="str">
        <f>IFERROR(VLOOKUP(RIGHT(D142, LEN(D142) - 1),'post-link-extract'!$A:$E, 5, 0), "")</f>
        <v/>
      </c>
      <c r="G142" s="2" t="str">
        <f>_xlfn.CONCAT(IF(LEN(F142)=0, CONCATENATE(D142, "([""", C142, """])"), CONCATENATE(D142,"([""",params!$B$1, "&lt;a href=""", F142, """&gt;", C142, "&lt;/a&gt;""])")), ":::", E142)</f>
        <v>palindrome_tree(["회문 트리"]):::tier4</v>
      </c>
    </row>
    <row r="143" spans="1:7" ht="16.5" customHeight="1">
      <c r="A143" s="2" t="s">
        <v>144</v>
      </c>
      <c r="B143" s="2" t="str">
        <f t="shared" si="4"/>
        <v>매개_변수_탐색(parametric_search)</v>
      </c>
      <c r="C143" s="2" t="str">
        <f t="shared" si="5"/>
        <v>매개 변수 탐색</v>
      </c>
      <c r="D143" s="2" t="str">
        <f xml:space="preserve"> TRIM(RIGHT(SUBSTITUTE(A143," ",REPT(" ",100)),100))</f>
        <v>parametric_search</v>
      </c>
      <c r="E143" s="2" t="str">
        <f>_xlfn.CONCAT("tier", VLOOKUP(D143,tag_diff!$A:$BL,64,FALSE))</f>
        <v>tier2</v>
      </c>
      <c r="F143" s="3" t="str">
        <f>IFERROR(VLOOKUP(RIGHT(D143, LEN(D143) - 1),'post-link-extract'!$A:$E, 5, 0), "")</f>
        <v/>
      </c>
      <c r="G143" s="2" t="str">
        <f>_xlfn.CONCAT(IF(LEN(F143)=0, CONCATENATE(D143, "([""", C143, """])"), CONCATENATE(D143,"([""",params!$B$1, "&lt;a href=""", F143, """&gt;", C143, "&lt;/a&gt;""])")), ":::", E143)</f>
        <v>parametric_search(["매개 변수 탐색"]):::tier2</v>
      </c>
    </row>
    <row r="144" spans="1:7" ht="16.5" customHeight="1">
      <c r="A144" s="2" t="s">
        <v>145</v>
      </c>
      <c r="B144" s="2" t="str">
        <f t="shared" si="4"/>
        <v>파싱(parsing)</v>
      </c>
      <c r="C144" s="2" t="str">
        <f t="shared" si="5"/>
        <v>파싱</v>
      </c>
      <c r="D144" s="2" t="str">
        <f xml:space="preserve"> TRIM(RIGHT(SUBSTITUTE(A144," ",REPT(" ",100)),100))</f>
        <v>parsing</v>
      </c>
      <c r="E144" s="2" t="str">
        <f>_xlfn.CONCAT("tier", VLOOKUP(D144,tag_diff!$A:$BL,64,FALSE))</f>
        <v>tier1</v>
      </c>
      <c r="F144" s="3" t="str">
        <f>IFERROR(VLOOKUP(RIGHT(D144, LEN(D144) - 1),'post-link-extract'!$A:$E, 5, 0), "")</f>
        <v/>
      </c>
      <c r="G144" s="2" t="str">
        <f>_xlfn.CONCAT(IF(LEN(F144)=0, CONCATENATE(D144, "([""", C144, """])"), CONCATENATE(D144,"([""",params!$B$1, "&lt;a href=""", F144, """&gt;", C144, "&lt;/a&gt;""])")), ":::", E144)</f>
        <v>parsing(["파싱"]):::tier1</v>
      </c>
    </row>
    <row r="145" spans="1:7" ht="16.5" customHeight="1">
      <c r="A145" s="2" t="s">
        <v>146</v>
      </c>
      <c r="B145" s="2" t="str">
        <f t="shared" si="4"/>
        <v>병렬_이분_탐색(pbs)</v>
      </c>
      <c r="C145" s="2" t="str">
        <f t="shared" si="5"/>
        <v>병렬 이분 탐색</v>
      </c>
      <c r="D145" s="2" t="str">
        <f xml:space="preserve"> TRIM(RIGHT(SUBSTITUTE(A145," ",REPT(" ",100)),100))</f>
        <v>pbs</v>
      </c>
      <c r="E145" s="2" t="str">
        <f>_xlfn.CONCAT("tier", VLOOKUP(D145,tag_diff!$A:$BL,64,FALSE))</f>
        <v>tier4</v>
      </c>
      <c r="F145" s="3" t="str">
        <f>IFERROR(VLOOKUP(RIGHT(D145, LEN(D145) - 1),'post-link-extract'!$A:$E, 5, 0), "")</f>
        <v/>
      </c>
      <c r="G145" s="2" t="str">
        <f>_xlfn.CONCAT(IF(LEN(F145)=0, CONCATENATE(D145, "([""", C145, """])"), CONCATENATE(D145,"([""",params!$B$1, "&lt;a href=""", F145, """&gt;", C145, "&lt;/a&gt;""])")), ":::", E145)</f>
        <v>pbs(["병렬 이분 탐색"]):::tier4</v>
      </c>
    </row>
    <row r="146" spans="1:7" ht="16.5" customHeight="1">
      <c r="A146" s="2" t="s">
        <v>147</v>
      </c>
      <c r="B146" s="2" t="str">
        <f t="shared" si="4"/>
        <v>순열_사이클_분할(permutation_cycle_decomposition)</v>
      </c>
      <c r="C146" s="2" t="str">
        <f t="shared" si="5"/>
        <v>순열 사이클 분할</v>
      </c>
      <c r="D146" s="2" t="str">
        <f xml:space="preserve"> TRIM(RIGHT(SUBSTITUTE(A146," ",REPT(" ",100)),100))</f>
        <v>permutation_cycle_decomposition</v>
      </c>
      <c r="E146" s="2" t="str">
        <f>_xlfn.CONCAT("tier", VLOOKUP(D146,tag_diff!$A:$BL,64,FALSE))</f>
        <v>tier2</v>
      </c>
      <c r="F146" s="3" t="str">
        <f>IFERROR(VLOOKUP(RIGHT(D146, LEN(D146) - 1),'post-link-extract'!$A:$E, 5, 0), "")</f>
        <v/>
      </c>
      <c r="G146" s="2" t="str">
        <f>_xlfn.CONCAT(IF(LEN(F146)=0, CONCATENATE(D146, "([""", C146, """])"), CONCATENATE(D146,"([""",params!$B$1, "&lt;a href=""", F146, """&gt;", C146, "&lt;/a&gt;""])")), ":::", E146)</f>
        <v>permutation_cycle_decomposition(["순열 사이클 분할"]):::tier2</v>
      </c>
    </row>
    <row r="147" spans="1:7" ht="16.5" customHeight="1">
      <c r="A147" s="2" t="s">
        <v>148</v>
      </c>
      <c r="B147" s="2" t="str">
        <f t="shared" si="4"/>
        <v>물리학(physics)</v>
      </c>
      <c r="C147" s="2" t="str">
        <f t="shared" si="5"/>
        <v>물리학</v>
      </c>
      <c r="D147" s="2" t="str">
        <f xml:space="preserve"> TRIM(RIGHT(SUBSTITUTE(A147," ",REPT(" ",100)),100))</f>
        <v>physics</v>
      </c>
      <c r="E147" s="2" t="str">
        <f>_xlfn.CONCAT("tier", VLOOKUP(D147,tag_diff!$A:$BL,64,FALSE))</f>
        <v>tier1</v>
      </c>
      <c r="F147" s="3" t="str">
        <f>IFERROR(VLOOKUP(RIGHT(D147, LEN(D147) - 1),'post-link-extract'!$A:$E, 5, 0), "")</f>
        <v/>
      </c>
      <c r="G147" s="2" t="str">
        <f>_xlfn.CONCAT(IF(LEN(F147)=0, CONCATENATE(D147, "([""", C147, """])"), CONCATENATE(D147,"([""",params!$B$1, "&lt;a href=""", F147, """&gt;", C147, "&lt;/a&gt;""])")), ":::", E147)</f>
        <v>physics(["물리학"]):::tier1</v>
      </c>
    </row>
    <row r="148" spans="1:7" ht="16.5" customHeight="1">
      <c r="A148" s="2" t="s">
        <v>149</v>
      </c>
      <c r="B148" s="2" t="str">
        <f t="shared" si="4"/>
        <v>픽의_정리(pick)</v>
      </c>
      <c r="C148" s="2" t="str">
        <f t="shared" si="5"/>
        <v>픽의 정리</v>
      </c>
      <c r="D148" s="2" t="str">
        <f xml:space="preserve"> TRIM(RIGHT(SUBSTITUTE(A148," ",REPT(" ",100)),100))</f>
        <v>pick</v>
      </c>
      <c r="E148" s="2" t="str">
        <f>_xlfn.CONCAT("tier", VLOOKUP(D148,tag_diff!$A:$BL,64,FALSE))</f>
        <v>tier2</v>
      </c>
      <c r="F148" s="3" t="str">
        <f>IFERROR(VLOOKUP(RIGHT(D148, LEN(D148) - 1),'post-link-extract'!$A:$E, 5, 0), "")</f>
        <v/>
      </c>
      <c r="G148" s="2" t="str">
        <f>_xlfn.CONCAT(IF(LEN(F148)=0, CONCATENATE(D148, "([""", C148, """])"), CONCATENATE(D148,"([""",params!$B$1, "&lt;a href=""", F148, """&gt;", C148, "&lt;/a&gt;""])")), ":::", E148)</f>
        <v>pick(["픽의 정리"]):::tier2</v>
      </c>
    </row>
    <row r="149" spans="1:7" ht="16.5" customHeight="1">
      <c r="A149" s="2" t="s">
        <v>150</v>
      </c>
      <c r="B149" s="2" t="str">
        <f t="shared" si="4"/>
        <v>비둘기집_원리(pigeonhole_principle)</v>
      </c>
      <c r="C149" s="2" t="str">
        <f t="shared" si="5"/>
        <v>비둘기집 원리</v>
      </c>
      <c r="D149" s="2" t="str">
        <f xml:space="preserve"> TRIM(RIGHT(SUBSTITUTE(A149," ",REPT(" ",100)),100))</f>
        <v>pigeonhole_principle</v>
      </c>
      <c r="E149" s="2" t="str">
        <f>_xlfn.CONCAT("tier", VLOOKUP(D149,tag_diff!$A:$BL,64,FALSE))</f>
        <v>tier1</v>
      </c>
      <c r="F149" s="3" t="str">
        <f>IFERROR(VLOOKUP(RIGHT(D149, LEN(D149) - 1),'post-link-extract'!$A:$E, 5, 0), "")</f>
        <v/>
      </c>
      <c r="G149" s="2" t="str">
        <f>_xlfn.CONCAT(IF(LEN(F149)=0, CONCATENATE(D149, "([""", C149, """])"), CONCATENATE(D149,"([""",params!$B$1, "&lt;a href=""", F149, """&gt;", C149, "&lt;/a&gt;""])")), ":::", E149)</f>
        <v>pigeonhole_principle(["비둘기집 원리"]):::tier1</v>
      </c>
    </row>
    <row r="150" spans="1:7" ht="16.5" customHeight="1">
      <c r="A150" s="2" t="s">
        <v>151</v>
      </c>
      <c r="B150" s="2" t="str">
        <f t="shared" si="4"/>
        <v>평면_그래프(planar_graph)</v>
      </c>
      <c r="C150" s="2" t="str">
        <f t="shared" si="5"/>
        <v>평면 그래프</v>
      </c>
      <c r="D150" s="2" t="str">
        <f xml:space="preserve"> TRIM(RIGHT(SUBSTITUTE(A150," ",REPT(" ",100)),100))</f>
        <v>planar_graph</v>
      </c>
      <c r="E150" s="2" t="str">
        <f>_xlfn.CONCAT("tier", VLOOKUP(D150,tag_diff!$A:$BL,64,FALSE))</f>
        <v>tier3</v>
      </c>
      <c r="F150" s="3" t="str">
        <f>IFERROR(VLOOKUP(RIGHT(D150, LEN(D150) - 1),'post-link-extract'!$A:$E, 5, 0), "")</f>
        <v/>
      </c>
      <c r="G150" s="2" t="str">
        <f>_xlfn.CONCAT(IF(LEN(F150)=0, CONCATENATE(D150, "([""", C150, """])"), CONCATENATE(D150,"([""",params!$B$1, "&lt;a href=""", F150, """&gt;", C150, "&lt;/a&gt;""])")), ":::", E150)</f>
        <v>planar_graph(["평면 그래프"]):::tier3</v>
      </c>
    </row>
    <row r="151" spans="1:7" ht="16.5" customHeight="1">
      <c r="A151" s="2" t="s">
        <v>152</v>
      </c>
      <c r="B151" s="2" t="str">
        <f t="shared" si="4"/>
        <v>볼록_다각형_내부의_점_판정(point_in_convex_polygon)</v>
      </c>
      <c r="C151" s="2" t="str">
        <f t="shared" si="5"/>
        <v>볼록 다각형 내부의 점 판정</v>
      </c>
      <c r="D151" s="2" t="str">
        <f xml:space="preserve"> TRIM(RIGHT(SUBSTITUTE(A151," ",REPT(" ",100)),100))</f>
        <v>point_in_convex_polygon</v>
      </c>
      <c r="E151" s="2" t="str">
        <f>_xlfn.CONCAT("tier", VLOOKUP(D151,tag_diff!$A:$BL,64,FALSE))</f>
        <v>tier3</v>
      </c>
      <c r="F151" s="3" t="str">
        <f>IFERROR(VLOOKUP(RIGHT(D151, LEN(D151) - 1),'post-link-extract'!$A:$E, 5, 0), "")</f>
        <v/>
      </c>
      <c r="G151" s="2" t="str">
        <f>_xlfn.CONCAT(IF(LEN(F151)=0, CONCATENATE(D151, "([""", C151, """])"), CONCATENATE(D151,"([""",params!$B$1, "&lt;a href=""", F151, """&gt;", C151, "&lt;/a&gt;""])")), ":::", E151)</f>
        <v>point_in_convex_polygon(["볼록 다각형 내부의 점 판정"]):::tier3</v>
      </c>
    </row>
    <row r="152" spans="1:7" ht="16.5" customHeight="1">
      <c r="A152" s="2" t="s">
        <v>153</v>
      </c>
      <c r="B152" s="2" t="str">
        <f t="shared" si="4"/>
        <v>오목_다각형_내부의_점_판정(point_in_non_convex_polygon)</v>
      </c>
      <c r="C152" s="2" t="str">
        <f t="shared" si="5"/>
        <v>오목 다각형 내부의 점 판정</v>
      </c>
      <c r="D152" s="2" t="str">
        <f xml:space="preserve"> TRIM(RIGHT(SUBSTITUTE(A152," ",REPT(" ",100)),100))</f>
        <v>point_in_non_convex_polygon</v>
      </c>
      <c r="E152" s="2" t="str">
        <f>_xlfn.CONCAT("tier", VLOOKUP(D152,tag_diff!$A:$BL,64,FALSE))</f>
        <v>tier3</v>
      </c>
      <c r="F152" s="3" t="str">
        <f>IFERROR(VLOOKUP(RIGHT(D152, LEN(D152) - 1),'post-link-extract'!$A:$E, 5, 0), "")</f>
        <v/>
      </c>
      <c r="G152" s="2" t="str">
        <f>_xlfn.CONCAT(IF(LEN(F152)=0, CONCATENATE(D152, "([""", C152, """])"), CONCATENATE(D152,"([""",params!$B$1, "&lt;a href=""", F152, """&gt;", C152, "&lt;/a&gt;""])")), ":::", E152)</f>
        <v>point_in_non_convex_polygon(["오목 다각형 내부의 점 판정"]):::tier3</v>
      </c>
    </row>
    <row r="153" spans="1:7" ht="16.5" customHeight="1">
      <c r="A153" s="2" t="s">
        <v>154</v>
      </c>
      <c r="B153" s="2" t="str">
        <f t="shared" si="4"/>
        <v>폴라드_로(pollard_rho)</v>
      </c>
      <c r="C153" s="2" t="str">
        <f t="shared" si="5"/>
        <v>폴라드 로</v>
      </c>
      <c r="D153" s="2" t="str">
        <f xml:space="preserve"> TRIM(RIGHT(SUBSTITUTE(A153," ",REPT(" ",100)),100))</f>
        <v>pollard_rho</v>
      </c>
      <c r="E153" s="2" t="str">
        <f>_xlfn.CONCAT("tier", VLOOKUP(D153,tag_diff!$A:$BL,64,FALSE))</f>
        <v>tier3</v>
      </c>
      <c r="F153" s="3" t="str">
        <f>IFERROR(VLOOKUP(RIGHT(D153, LEN(D153) - 1),'post-link-extract'!$A:$E, 5, 0), "")</f>
        <v/>
      </c>
      <c r="G153" s="2" t="str">
        <f>_xlfn.CONCAT(IF(LEN(F153)=0, CONCATENATE(D153, "([""", C153, """])"), CONCATENATE(D153,"([""",params!$B$1, "&lt;a href=""", F153, """&gt;", C153, "&lt;/a&gt;""])")), ":::", E153)</f>
        <v>pollard_rho(["폴라드 로"]):::tier3</v>
      </c>
    </row>
    <row r="154" spans="1:7" ht="16.5" customHeight="1">
      <c r="A154" s="2" t="s">
        <v>155</v>
      </c>
      <c r="B154" s="2" t="str">
        <f t="shared" si="4"/>
        <v>다각형의_넓이(polygon_area)</v>
      </c>
      <c r="C154" s="2" t="str">
        <f t="shared" si="5"/>
        <v>다각형의 넓이</v>
      </c>
      <c r="D154" s="2" t="str">
        <f xml:space="preserve"> TRIM(RIGHT(SUBSTITUTE(A154," ",REPT(" ",100)),100))</f>
        <v>polygon_area</v>
      </c>
      <c r="E154" s="2" t="str">
        <f>_xlfn.CONCAT("tier", VLOOKUP(D154,tag_diff!$A:$BL,64,FALSE))</f>
        <v>tier2</v>
      </c>
      <c r="F154" s="3" t="str">
        <f>IFERROR(VLOOKUP(RIGHT(D154, LEN(D154) - 1),'post-link-extract'!$A:$E, 5, 0), "")</f>
        <v/>
      </c>
      <c r="G154" s="2" t="str">
        <f>_xlfn.CONCAT(IF(LEN(F154)=0, CONCATENATE(D154, "([""", C154, """])"), CONCATENATE(D154,"([""",params!$B$1, "&lt;a href=""", F154, """&gt;", C154, "&lt;/a&gt;""])")), ":::", E154)</f>
        <v>polygon_area(["다각형의 넓이"]):::tier2</v>
      </c>
    </row>
    <row r="155" spans="1:7" ht="16.5" customHeight="1">
      <c r="A155" s="2" t="s">
        <v>156</v>
      </c>
      <c r="B155" s="2" t="str">
        <f t="shared" si="4"/>
        <v>다항식_보간법(polynomial_interpolation)</v>
      </c>
      <c r="C155" s="2" t="str">
        <f t="shared" si="5"/>
        <v>다항식 보간법</v>
      </c>
      <c r="D155" s="2" t="str">
        <f xml:space="preserve"> TRIM(RIGHT(SUBSTITUTE(A155," ",REPT(" ",100)),100))</f>
        <v>polynomial_interpolation</v>
      </c>
      <c r="E155" s="2" t="str">
        <f>_xlfn.CONCAT("tier", VLOOKUP(D155,tag_diff!$A:$BL,64,FALSE))</f>
        <v>tier4</v>
      </c>
      <c r="F155" s="3" t="str">
        <f>IFERROR(VLOOKUP(RIGHT(D155, LEN(D155) - 1),'post-link-extract'!$A:$E, 5, 0), "")</f>
        <v/>
      </c>
      <c r="G155" s="2" t="str">
        <f>_xlfn.CONCAT(IF(LEN(F155)=0, CONCATENATE(D155, "([""", C155, """])"), CONCATENATE(D155,"([""",params!$B$1, "&lt;a href=""", F155, """&gt;", C155, "&lt;/a&gt;""])")), ":::", E155)</f>
        <v>polynomial_interpolation(["다항식 보간법"]):::tier4</v>
      </c>
    </row>
    <row r="156" spans="1:7" ht="16.5" customHeight="1">
      <c r="A156" s="2" t="s">
        <v>157</v>
      </c>
      <c r="B156" s="2" t="str">
        <f t="shared" si="4"/>
        <v>런타임_전의_전처리(precomputation)</v>
      </c>
      <c r="C156" s="2" t="str">
        <f t="shared" si="5"/>
        <v>런타임 전의 전처리</v>
      </c>
      <c r="D156" s="2" t="str">
        <f xml:space="preserve"> TRIM(RIGHT(SUBSTITUTE(A156," ",REPT(" ",100)),100))</f>
        <v>precomputation</v>
      </c>
      <c r="E156" s="2" t="str">
        <f>_xlfn.CONCAT("tier", VLOOKUP(D156,tag_diff!$A:$BL,64,FALSE))</f>
        <v>tier1</v>
      </c>
      <c r="F156" s="3" t="str">
        <f>IFERROR(VLOOKUP(RIGHT(D156, LEN(D156) - 1),'post-link-extract'!$A:$E, 5, 0), "")</f>
        <v/>
      </c>
      <c r="G156" s="2" t="str">
        <f>_xlfn.CONCAT(IF(LEN(F156)=0, CONCATENATE(D156, "([""", C156, """])"), CONCATENATE(D156,"([""",params!$B$1, "&lt;a href=""", F156, """&gt;", C156, "&lt;/a&gt;""])")), ":::", E156)</f>
        <v>precomputation(["런타임 전의 전처리"]):::tier1</v>
      </c>
    </row>
    <row r="157" spans="1:7" ht="16.5" customHeight="1">
      <c r="A157" s="2" t="s">
        <v>158</v>
      </c>
      <c r="B157" s="2" t="str">
        <f t="shared" si="4"/>
        <v>누적_합(prefix_sum)</v>
      </c>
      <c r="C157" s="2" t="str">
        <f t="shared" si="5"/>
        <v>누적 합</v>
      </c>
      <c r="D157" s="2" t="str">
        <f xml:space="preserve"> TRIM(RIGHT(SUBSTITUTE(A157," ",REPT(" ",100)),100))</f>
        <v>prefix_sum</v>
      </c>
      <c r="E157" s="2" t="str">
        <f>_xlfn.CONCAT("tier", VLOOKUP(D157,tag_diff!$A:$BL,64,FALSE))</f>
        <v>tier2</v>
      </c>
      <c r="F157" s="3" t="str">
        <f>IFERROR(VLOOKUP(RIGHT(D157, LEN(D157) - 1),'post-link-extract'!$A:$E, 5, 0), "")</f>
        <v/>
      </c>
      <c r="G157" s="2" t="str">
        <f>_xlfn.CONCAT(IF(LEN(F157)=0, CONCATENATE(D157, "([""", C157, """])"), CONCATENATE(D157,"([""",params!$B$1, "&lt;a href=""", F157, """&gt;", C157, "&lt;/a&gt;""])")), ":::", E157)</f>
        <v>prefix_sum(["누적 합"]):::tier2</v>
      </c>
    </row>
    <row r="158" spans="1:7" ht="16.5" customHeight="1">
      <c r="A158" s="2" t="s">
        <v>159</v>
      </c>
      <c r="B158" s="2" t="str">
        <f t="shared" si="4"/>
        <v>소수_판정(primality_test)</v>
      </c>
      <c r="C158" s="2" t="str">
        <f t="shared" si="5"/>
        <v>소수 판정</v>
      </c>
      <c r="D158" s="2" t="str">
        <f xml:space="preserve"> TRIM(RIGHT(SUBSTITUTE(A158," ",REPT(" ",100)),100))</f>
        <v>primality_test</v>
      </c>
      <c r="E158" s="2" t="str">
        <f>_xlfn.CONCAT("tier", VLOOKUP(D158,tag_diff!$A:$BL,64,FALSE))</f>
        <v>tier1</v>
      </c>
      <c r="F158" s="3" t="str">
        <f>IFERROR(VLOOKUP(RIGHT(D158, LEN(D158) - 1),'post-link-extract'!$A:$E, 5, 0), "")</f>
        <v/>
      </c>
      <c r="G158" s="2" t="str">
        <f>_xlfn.CONCAT(IF(LEN(F158)=0, CONCATENATE(D158, "([""", C158, """])"), CONCATENATE(D158,"([""",params!$B$1, "&lt;a href=""", F158, """&gt;", C158, "&lt;/a&gt;""])")), ":::", E158)</f>
        <v>primality_test(["소수 판정"]):::tier1</v>
      </c>
    </row>
    <row r="159" spans="1:7" ht="16.5" customHeight="1">
      <c r="A159" s="2" t="s">
        <v>160</v>
      </c>
      <c r="B159" s="2" t="str">
        <f t="shared" si="4"/>
        <v>우선순위_큐(priority_queue)</v>
      </c>
      <c r="C159" s="2" t="str">
        <f t="shared" si="5"/>
        <v>우선순위 큐</v>
      </c>
      <c r="D159" s="2" t="str">
        <f xml:space="preserve"> TRIM(RIGHT(SUBSTITUTE(A159," ",REPT(" ",100)),100))</f>
        <v>priority_queue</v>
      </c>
      <c r="E159" s="2" t="str">
        <f>_xlfn.CONCAT("tier", VLOOKUP(D159,tag_diff!$A:$BL,64,FALSE))</f>
        <v>tier2</v>
      </c>
      <c r="F159" s="3" t="str">
        <f>IFERROR(VLOOKUP(RIGHT(D159, LEN(D159) - 1),'post-link-extract'!$A:$E, 5, 0), "")</f>
        <v/>
      </c>
      <c r="G159" s="2" t="str">
        <f>_xlfn.CONCAT(IF(LEN(F159)=0, CONCATENATE(D159, "([""", C159, """])"), CONCATENATE(D159,"([""",params!$B$1, "&lt;a href=""", F159, """&gt;", C159, "&lt;/a&gt;""])")), ":::", E159)</f>
        <v>priority_queue(["우선순위 큐"]):::tier2</v>
      </c>
    </row>
    <row r="160" spans="1:7" ht="16.5" customHeight="1">
      <c r="A160" s="2" t="s">
        <v>161</v>
      </c>
      <c r="B160" s="2" t="str">
        <f t="shared" si="4"/>
        <v>확률론(probability)</v>
      </c>
      <c r="C160" s="2" t="str">
        <f t="shared" si="5"/>
        <v>확률론</v>
      </c>
      <c r="D160" s="2" t="str">
        <f xml:space="preserve"> TRIM(RIGHT(SUBSTITUTE(A160," ",REPT(" ",100)),100))</f>
        <v>probability</v>
      </c>
      <c r="E160" s="2" t="str">
        <f>_xlfn.CONCAT("tier", VLOOKUP(D160,tag_diff!$A:$BL,64,FALSE))</f>
        <v>tier2</v>
      </c>
      <c r="F160" s="3" t="str">
        <f>IFERROR(VLOOKUP(RIGHT(D160, LEN(D160) - 1),'post-link-extract'!$A:$E, 5, 0), "")</f>
        <v/>
      </c>
      <c r="G160" s="2" t="str">
        <f>_xlfn.CONCAT(IF(LEN(F160)=0, CONCATENATE(D160, "([""", C160, """])"), CONCATENATE(D160,"([""",params!$B$1, "&lt;a href=""", F160, """&gt;", C160, "&lt;/a&gt;""])")), ":::", E160)</f>
        <v>probability(["확률론"]):::tier2</v>
      </c>
    </row>
    <row r="161" spans="1:7" ht="16.5" customHeight="1">
      <c r="A161" s="2" t="s">
        <v>162</v>
      </c>
      <c r="B161" s="2" t="str">
        <f t="shared" si="4"/>
        <v>퍼시스턴트_세그먼트_트리(pst)</v>
      </c>
      <c r="C161" s="2" t="str">
        <f t="shared" si="5"/>
        <v>퍼시스턴트 세그먼트 트리</v>
      </c>
      <c r="D161" s="2" t="str">
        <f xml:space="preserve"> TRIM(RIGHT(SUBSTITUTE(A161," ",REPT(" ",100)),100))</f>
        <v>pst</v>
      </c>
      <c r="E161" s="2" t="str">
        <f>_xlfn.CONCAT("tier", VLOOKUP(D161,tag_diff!$A:$BL,64,FALSE))</f>
        <v>tier4</v>
      </c>
      <c r="F161" s="3" t="str">
        <f>IFERROR(VLOOKUP(RIGHT(D161, LEN(D161) - 1),'post-link-extract'!$A:$E, 5, 0), "")</f>
        <v/>
      </c>
      <c r="G161" s="2" t="str">
        <f>_xlfn.CONCAT(IF(LEN(F161)=0, CONCATENATE(D161, "([""", C161, """])"), CONCATENATE(D161,"([""",params!$B$1, "&lt;a href=""", F161, """&gt;", C161, "&lt;/a&gt;""])")), ":::", E161)</f>
        <v>pst(["퍼시스턴트 세그먼트 트리"]):::tier4</v>
      </c>
    </row>
    <row r="162" spans="1:7" ht="16.5" customHeight="1">
      <c r="A162" s="2" t="s">
        <v>163</v>
      </c>
      <c r="B162" s="2" t="str">
        <f t="shared" si="4"/>
        <v>피타고라스_정리(pythagoras)</v>
      </c>
      <c r="C162" s="2" t="str">
        <f t="shared" si="5"/>
        <v>피타고라스 정리</v>
      </c>
      <c r="D162" s="2" t="str">
        <f xml:space="preserve"> TRIM(RIGHT(SUBSTITUTE(A162," ",REPT(" ",100)),100))</f>
        <v>pythagoras</v>
      </c>
      <c r="E162" s="2" t="str">
        <f>_xlfn.CONCAT("tier", VLOOKUP(D162,tag_diff!$A:$BL,64,FALSE))</f>
        <v>tier0</v>
      </c>
      <c r="F162" s="3" t="str">
        <f>IFERROR(VLOOKUP(RIGHT(D162, LEN(D162) - 1),'post-link-extract'!$A:$E, 5, 0), "")</f>
        <v/>
      </c>
      <c r="G162" s="2" t="str">
        <f>_xlfn.CONCAT(IF(LEN(F162)=0, CONCATENATE(D162, "([""", C162, """])"), CONCATENATE(D162,"([""",params!$B$1, "&lt;a href=""", F162, """&gt;", C162, "&lt;/a&gt;""])")), ":::", E162)</f>
        <v>pythagoras(["피타고라스 정리"]):::tier0</v>
      </c>
    </row>
    <row r="163" spans="1:7" ht="16.5" customHeight="1">
      <c r="A163" s="2" t="s">
        <v>164</v>
      </c>
      <c r="B163" s="2" t="str">
        <f t="shared" si="4"/>
        <v>큐(queue)</v>
      </c>
      <c r="C163" s="2" t="str">
        <f t="shared" si="5"/>
        <v>큐</v>
      </c>
      <c r="D163" s="2" t="str">
        <f xml:space="preserve"> TRIM(RIGHT(SUBSTITUTE(A163," ",REPT(" ",100)),100))</f>
        <v>queue</v>
      </c>
      <c r="E163" s="2" t="str">
        <f>_xlfn.CONCAT("tier", VLOOKUP(D163,tag_diff!$A:$BL,64,FALSE))</f>
        <v>tier1</v>
      </c>
      <c r="F163" s="3" t="str">
        <f>IFERROR(VLOOKUP(RIGHT(D163, LEN(D163) - 1),'post-link-extract'!$A:$E, 5, 0), "")</f>
        <v/>
      </c>
      <c r="G163" s="2" t="str">
        <f>_xlfn.CONCAT(IF(LEN(F163)=0, CONCATENATE(D163, "([""", C163, """])"), CONCATENATE(D163,"([""",params!$B$1, "&lt;a href=""", F163, """&gt;", C163, "&lt;/a&gt;""])")), ":::", E163)</f>
        <v>queue(["큐"]):::tier1</v>
      </c>
    </row>
    <row r="164" spans="1:7" ht="16.5" customHeight="1">
      <c r="A164" s="2" t="s">
        <v>165</v>
      </c>
      <c r="B164" s="2" t="str">
        <f t="shared" si="4"/>
        <v>라빈–카프(rabin_karp)</v>
      </c>
      <c r="C164" s="2" t="str">
        <f t="shared" si="5"/>
        <v>라빈–카프</v>
      </c>
      <c r="D164" s="2" t="str">
        <f xml:space="preserve"> TRIM(RIGHT(SUBSTITUTE(A164," ",REPT(" ",100)),100))</f>
        <v>rabin_karp</v>
      </c>
      <c r="E164" s="2" t="str">
        <f>_xlfn.CONCAT("tier", VLOOKUP(D164,tag_diff!$A:$BL,64,FALSE))</f>
        <v>tier3</v>
      </c>
      <c r="F164" s="3" t="str">
        <f>IFERROR(VLOOKUP(RIGHT(D164, LEN(D164) - 1),'post-link-extract'!$A:$E, 5, 0), "")</f>
        <v/>
      </c>
      <c r="G164" s="2" t="str">
        <f>_xlfn.CONCAT(IF(LEN(F164)=0, CONCATENATE(D164, "([""", C164, """])"), CONCATENATE(D164,"([""",params!$B$1, "&lt;a href=""", F164, """&gt;", C164, "&lt;/a&gt;""])")), ":::", E164)</f>
        <v>rabin_karp(["라빈–카프"]):::tier3</v>
      </c>
    </row>
    <row r="165" spans="1:7" ht="16.5" customHeight="1">
      <c r="A165" s="2" t="s">
        <v>166</v>
      </c>
      <c r="B165" s="2" t="str">
        <f t="shared" si="4"/>
        <v>무작위화(randomization)</v>
      </c>
      <c r="C165" s="2" t="str">
        <f t="shared" si="5"/>
        <v>무작위화</v>
      </c>
      <c r="D165" s="2" t="str">
        <f xml:space="preserve"> TRIM(RIGHT(SUBSTITUTE(A165," ",REPT(" ",100)),100))</f>
        <v>randomization</v>
      </c>
      <c r="E165" s="2" t="str">
        <f>_xlfn.CONCAT("tier", VLOOKUP(D165,tag_diff!$A:$BL,64,FALSE))</f>
        <v>tier2</v>
      </c>
      <c r="F165" s="3" t="str">
        <f>IFERROR(VLOOKUP(RIGHT(D165, LEN(D165) - 1),'post-link-extract'!$A:$E, 5, 0), "")</f>
        <v/>
      </c>
      <c r="G165" s="2" t="str">
        <f>_xlfn.CONCAT(IF(LEN(F165)=0, CONCATENATE(D165, "([""", C165, """])"), CONCATENATE(D165,"([""",params!$B$1, "&lt;a href=""", F165, """&gt;", C165, "&lt;/a&gt;""])")), ":::", E165)</f>
        <v>randomization(["무작위화"]):::tier2</v>
      </c>
    </row>
    <row r="166" spans="1:7" ht="16.5" customHeight="1">
      <c r="A166" s="2" t="s">
        <v>167</v>
      </c>
      <c r="B166" s="2" t="str">
        <f t="shared" si="4"/>
        <v>레드-블랙_트리(rb_tree)</v>
      </c>
      <c r="C166" s="2" t="str">
        <f t="shared" si="5"/>
        <v>레드-블랙 트리</v>
      </c>
      <c r="D166" s="2" t="str">
        <f xml:space="preserve"> TRIM(RIGHT(SUBSTITUTE(A166," ",REPT(" ",100)),100))</f>
        <v>rb_tree</v>
      </c>
      <c r="E166" s="2" t="str">
        <f>_xlfn.CONCAT("tier", VLOOKUP(D166,tag_diff!$A:$BL,64,FALSE))</f>
        <v>tier5</v>
      </c>
      <c r="F166" s="3" t="str">
        <f>IFERROR(VLOOKUP(RIGHT(D166, LEN(D166) - 1),'post-link-extract'!$A:$E, 5, 0), "")</f>
        <v/>
      </c>
      <c r="G166" s="2" t="str">
        <f>_xlfn.CONCAT(IF(LEN(F166)=0, CONCATENATE(D166, "([""", C166, """])"), CONCATENATE(D166,"([""",params!$B$1, "&lt;a href=""", F166, """&gt;", C166, "&lt;/a&gt;""])")), ":::", E166)</f>
        <v>rb_tree(["레드-블랙 트리"]):::tier5</v>
      </c>
    </row>
    <row r="167" spans="1:7" ht="16.5" customHeight="1">
      <c r="A167" s="2" t="s">
        <v>168</v>
      </c>
      <c r="B167" s="2" t="str">
        <f t="shared" si="4"/>
        <v>재귀(recursion)</v>
      </c>
      <c r="C167" s="2" t="str">
        <f t="shared" si="5"/>
        <v>재귀</v>
      </c>
      <c r="D167" s="2" t="str">
        <f xml:space="preserve"> TRIM(RIGHT(SUBSTITUTE(A167," ",REPT(" ",100)),100))</f>
        <v>recursion</v>
      </c>
      <c r="E167" s="2" t="str">
        <f>_xlfn.CONCAT("tier", VLOOKUP(D167,tag_diff!$A:$BL,64,FALSE))</f>
        <v>tier1</v>
      </c>
      <c r="F167" s="3" t="str">
        <f>IFERROR(VLOOKUP(RIGHT(D167, LEN(D167) - 1),'post-link-extract'!$A:$E, 5, 0), "")</f>
        <v/>
      </c>
      <c r="G167" s="2" t="str">
        <f>_xlfn.CONCAT(IF(LEN(F167)=0, CONCATENATE(D167, "([""", C167, """])"), CONCATENATE(D167,"([""",params!$B$1, "&lt;a href=""", F167, """&gt;", C167, "&lt;/a&gt;""])")), ":::", E167)</f>
        <v>recursion(["재귀"]):::tier1</v>
      </c>
    </row>
    <row r="168" spans="1:7" ht="16.5" customHeight="1">
      <c r="A168" s="2" t="s">
        <v>169</v>
      </c>
      <c r="B168" s="2" t="str">
        <f t="shared" si="4"/>
        <v>정규_표현식(regex)</v>
      </c>
      <c r="C168" s="2" t="str">
        <f t="shared" si="5"/>
        <v>정규 표현식</v>
      </c>
      <c r="D168" s="2" t="str">
        <f xml:space="preserve"> TRIM(RIGHT(SUBSTITUTE(A168," ",REPT(" ",100)),100))</f>
        <v>regex</v>
      </c>
      <c r="E168" s="2" t="str">
        <f>_xlfn.CONCAT("tier", VLOOKUP(D168,tag_diff!$A:$BL,64,FALSE))</f>
        <v>tier1</v>
      </c>
      <c r="F168" s="3" t="str">
        <f>IFERROR(VLOOKUP(RIGHT(D168, LEN(D168) - 1),'post-link-extract'!$A:$E, 5, 0), "")</f>
        <v/>
      </c>
      <c r="G168" s="2" t="str">
        <f>_xlfn.CONCAT(IF(LEN(F168)=0, CONCATENATE(D168, "([""", C168, """])"), CONCATENATE(D168,"([""",params!$B$1, "&lt;a href=""", F168, """&gt;", C168, "&lt;/a&gt;""])")), ":::", E168)</f>
        <v>regex(["정규 표현식"]):::tier1</v>
      </c>
    </row>
    <row r="169" spans="1:7" ht="16.5" customHeight="1">
      <c r="A169" s="2" t="s">
        <v>170</v>
      </c>
      <c r="B169" s="2" t="str">
        <f t="shared" si="4"/>
        <v>로프(rope)</v>
      </c>
      <c r="C169" s="2" t="str">
        <f t="shared" si="5"/>
        <v>로프</v>
      </c>
      <c r="D169" s="2" t="str">
        <f xml:space="preserve"> TRIM(RIGHT(SUBSTITUTE(A169," ",REPT(" ",100)),100))</f>
        <v>rope</v>
      </c>
      <c r="E169" s="2" t="str">
        <f>_xlfn.CONCAT("tier", VLOOKUP(D169,tag_diff!$A:$BL,64,FALSE))</f>
        <v>tier4</v>
      </c>
      <c r="F169" s="3" t="str">
        <f>IFERROR(VLOOKUP(RIGHT(D169, LEN(D169) - 1),'post-link-extract'!$A:$E, 5, 0), "")</f>
        <v/>
      </c>
      <c r="G169" s="2" t="str">
        <f>_xlfn.CONCAT(IF(LEN(F169)=0, CONCATENATE(D169, "([""", C169, """])"), CONCATENATE(D169,"([""",params!$B$1, "&lt;a href=""", F169, """&gt;", C169, "&lt;/a&gt;""])")), ":::", E169)</f>
        <v>rope(["로프"]):::tier4</v>
      </c>
    </row>
    <row r="170" spans="1:7" ht="16.5" customHeight="1">
      <c r="A170" s="2" t="s">
        <v>171</v>
      </c>
      <c r="B170" s="2" t="str">
        <f t="shared" si="4"/>
        <v>회전하는_캘리퍼스(rotating_calipers)</v>
      </c>
      <c r="C170" s="2" t="str">
        <f t="shared" si="5"/>
        <v>회전하는 캘리퍼스</v>
      </c>
      <c r="D170" s="2" t="str">
        <f xml:space="preserve"> TRIM(RIGHT(SUBSTITUTE(A170," ",REPT(" ",100)),100))</f>
        <v>rotating_calipers</v>
      </c>
      <c r="E170" s="2" t="str">
        <f>_xlfn.CONCAT("tier", VLOOKUP(D170,tag_diff!$A:$BL,64,FALSE))</f>
        <v>tier3</v>
      </c>
      <c r="F170" s="3" t="str">
        <f>IFERROR(VLOOKUP(RIGHT(D170, LEN(D170) - 1),'post-link-extract'!$A:$E, 5, 0), "")</f>
        <v/>
      </c>
      <c r="G170" s="2" t="str">
        <f>_xlfn.CONCAT(IF(LEN(F170)=0, CONCATENATE(D170, "([""", C170, """])"), CONCATENATE(D170,"([""",params!$B$1, "&lt;a href=""", F170, """&gt;", C170, "&lt;/a&gt;""])")), ":::", E170)</f>
        <v>rotating_calipers(["회전하는 캘리퍼스"]):::tier3</v>
      </c>
    </row>
    <row r="171" spans="1:7" ht="16.5" customHeight="1">
      <c r="A171" s="2" t="s">
        <v>172</v>
      </c>
      <c r="B171" s="2" t="str">
        <f t="shared" si="4"/>
        <v>강한_연결_요소(scc)</v>
      </c>
      <c r="C171" s="2" t="str">
        <f t="shared" si="5"/>
        <v>강한 연결 요소</v>
      </c>
      <c r="D171" s="2" t="str">
        <f xml:space="preserve"> TRIM(RIGHT(SUBSTITUTE(A171," ",REPT(" ",100)),100))</f>
        <v>scc</v>
      </c>
      <c r="E171" s="2" t="str">
        <f>_xlfn.CONCAT("tier", VLOOKUP(D171,tag_diff!$A:$BL,64,FALSE))</f>
        <v>tier3</v>
      </c>
      <c r="F171" s="3" t="str">
        <f>IFERROR(VLOOKUP(RIGHT(D171, LEN(D171) - 1),'post-link-extract'!$A:$E, 5, 0), "")</f>
        <v/>
      </c>
      <c r="G171" s="2" t="str">
        <f>_xlfn.CONCAT(IF(LEN(F171)=0, CONCATENATE(D171, "([""", C171, """])"), CONCATENATE(D171,"([""",params!$B$1, "&lt;a href=""", F171, """&gt;", C171, "&lt;/a&gt;""])")), ":::", E171)</f>
        <v>scc(["강한 연결 요소"]):::tier3</v>
      </c>
    </row>
    <row r="172" spans="1:7" ht="16.5" customHeight="1">
      <c r="A172" s="2" t="s">
        <v>173</v>
      </c>
      <c r="B172" s="2" t="str">
        <f t="shared" si="4"/>
        <v>세그먼트_트리(segtree)</v>
      </c>
      <c r="C172" s="2" t="str">
        <f t="shared" si="5"/>
        <v>세그먼트 트리</v>
      </c>
      <c r="D172" s="2" t="str">
        <f xml:space="preserve"> TRIM(RIGHT(SUBSTITUTE(A172," ",REPT(" ",100)),100))</f>
        <v>segtree</v>
      </c>
      <c r="E172" s="2" t="str">
        <f>_xlfn.CONCAT("tier", VLOOKUP(D172,tag_diff!$A:$BL,64,FALSE))</f>
        <v>tier3</v>
      </c>
      <c r="F172" s="3" t="str">
        <f>IFERROR(VLOOKUP(RIGHT(D172, LEN(D172) - 1),'post-link-extract'!$A:$E, 5, 0), "")</f>
        <v/>
      </c>
      <c r="G172" s="2" t="str">
        <f>_xlfn.CONCAT(IF(LEN(F172)=0, CONCATENATE(D172, "([""", C172, """])"), CONCATENATE(D172,"([""",params!$B$1, "&lt;a href=""", F172, """&gt;", C172, "&lt;/a&gt;""])")), ":::", E172)</f>
        <v>segtree(["세그먼트 트리"]):::tier3</v>
      </c>
    </row>
    <row r="173" spans="1:7" ht="16.5" customHeight="1">
      <c r="A173" s="2" t="s">
        <v>174</v>
      </c>
      <c r="B173" s="2" t="str">
        <f t="shared" si="4"/>
        <v>최단_경로(shortest_path)</v>
      </c>
      <c r="C173" s="2" t="str">
        <f t="shared" si="5"/>
        <v>최단 경로</v>
      </c>
      <c r="D173" s="2" t="str">
        <f xml:space="preserve"> TRIM(RIGHT(SUBSTITUTE(A173," ",REPT(" ",100)),100))</f>
        <v>shortest_path</v>
      </c>
      <c r="E173" s="2" t="str">
        <f>_xlfn.CONCAT("tier", VLOOKUP(D173,tag_diff!$A:$BL,64,FALSE))</f>
        <v>tier2</v>
      </c>
      <c r="F173" s="3" t="str">
        <f>IFERROR(VLOOKUP(RIGHT(D173, LEN(D173) - 1),'post-link-extract'!$A:$E, 5, 0), "")</f>
        <v/>
      </c>
      <c r="G173" s="2" t="str">
        <f>_xlfn.CONCAT(IF(LEN(F173)=0, CONCATENATE(D173, "([""", C173, """])"), CONCATENATE(D173,"([""",params!$B$1, "&lt;a href=""", F173, """&gt;", C173, "&lt;/a&gt;""])")), ":::", E173)</f>
        <v>shortest_path(["최단 경로"]):::tier2</v>
      </c>
    </row>
    <row r="174" spans="1:7" ht="16.5" customHeight="1">
      <c r="A174" s="2" t="s">
        <v>175</v>
      </c>
      <c r="B174" s="2" t="str">
        <f t="shared" si="4"/>
        <v>에라토스테네스의_체(sieve)</v>
      </c>
      <c r="C174" s="2" t="str">
        <f t="shared" si="5"/>
        <v>에라토스테네스의 체</v>
      </c>
      <c r="D174" s="2" t="str">
        <f xml:space="preserve"> TRIM(RIGHT(SUBSTITUTE(A174," ",REPT(" ",100)),100))</f>
        <v>sieve</v>
      </c>
      <c r="E174" s="2" t="str">
        <f>_xlfn.CONCAT("tier", VLOOKUP(D174,tag_diff!$A:$BL,64,FALSE))</f>
        <v>tier1</v>
      </c>
      <c r="F174" s="3" t="str">
        <f>IFERROR(VLOOKUP(RIGHT(D174, LEN(D174) - 1),'post-link-extract'!$A:$E, 5, 0), "")</f>
        <v/>
      </c>
      <c r="G174" s="2" t="str">
        <f>_xlfn.CONCAT(IF(LEN(F174)=0, CONCATENATE(D174, "([""", C174, """])"), CONCATENATE(D174,"([""",params!$B$1, "&lt;a href=""", F174, """&gt;", C174, "&lt;/a&gt;""])")), ":::", E174)</f>
        <v>sieve(["에라토스테네스의 체"]):::tier1</v>
      </c>
    </row>
    <row r="175" spans="1:7" ht="16.5" customHeight="1">
      <c r="A175" s="2" t="s">
        <v>176</v>
      </c>
      <c r="B175" s="2" t="str">
        <f t="shared" si="4"/>
        <v>담금질_기법(simulated_annealing)</v>
      </c>
      <c r="C175" s="2" t="str">
        <f t="shared" si="5"/>
        <v>담금질 기법</v>
      </c>
      <c r="D175" s="2" t="str">
        <f xml:space="preserve"> TRIM(RIGHT(SUBSTITUTE(A175," ",REPT(" ",100)),100))</f>
        <v>simulated_annealing</v>
      </c>
      <c r="E175" s="2" t="str">
        <f>_xlfn.CONCAT("tier", VLOOKUP(D175,tag_diff!$A:$BL,64,FALSE))</f>
        <v>tier3</v>
      </c>
      <c r="F175" s="3" t="str">
        <f>IFERROR(VLOOKUP(RIGHT(D175, LEN(D175) - 1),'post-link-extract'!$A:$E, 5, 0), "")</f>
        <v/>
      </c>
      <c r="G175" s="2" t="str">
        <f>_xlfn.CONCAT(IF(LEN(F175)=0, CONCATENATE(D175, "([""", C175, """])"), CONCATENATE(D175,"([""",params!$B$1, "&lt;a href=""", F175, """&gt;", C175, "&lt;/a&gt;""])")), ":::", E175)</f>
        <v>simulated_annealing(["담금질 기법"]):::tier3</v>
      </c>
    </row>
    <row r="176" spans="1:7" ht="16.5" customHeight="1">
      <c r="A176" s="2" t="s">
        <v>177</v>
      </c>
      <c r="B176" s="2" t="str">
        <f t="shared" si="4"/>
        <v>시뮬레이션(simulation)</v>
      </c>
      <c r="C176" s="2" t="str">
        <f t="shared" si="5"/>
        <v>시뮬레이션</v>
      </c>
      <c r="D176" s="2" t="str">
        <f xml:space="preserve"> TRIM(RIGHT(SUBSTITUTE(A176," ",REPT(" ",100)),100))</f>
        <v>simulation</v>
      </c>
      <c r="E176" s="2" t="str">
        <f>_xlfn.CONCAT("tier", VLOOKUP(D176,tag_diff!$A:$BL,64,FALSE))</f>
        <v>tier0</v>
      </c>
      <c r="F176" s="3" t="str">
        <f>IFERROR(VLOOKUP(RIGHT(D176, LEN(D176) - 1),'post-link-extract'!$A:$E, 5, 0), "")</f>
        <v/>
      </c>
      <c r="G176" s="2" t="str">
        <f>_xlfn.CONCAT(IF(LEN(F176)=0, CONCATENATE(D176, "([""", C176, """])"), CONCATENATE(D176,"([""",params!$B$1, "&lt;a href=""", F176, """&gt;", C176, "&lt;/a&gt;""])")), ":::", E176)</f>
        <v>simulation(["시뮬레이션"]):::tier0</v>
      </c>
    </row>
    <row r="177" spans="1:7" ht="16.5" customHeight="1">
      <c r="A177" s="2" t="s">
        <v>178</v>
      </c>
      <c r="B177" s="2" t="str">
        <f t="shared" si="4"/>
        <v>슬라이딩_윈도우(sliding_window)</v>
      </c>
      <c r="C177" s="2" t="str">
        <f t="shared" si="5"/>
        <v>슬라이딩 윈도우</v>
      </c>
      <c r="D177" s="2" t="str">
        <f xml:space="preserve"> TRIM(RIGHT(SUBSTITUTE(A177," ",REPT(" ",100)),100))</f>
        <v>sliding_window</v>
      </c>
      <c r="E177" s="2" t="str">
        <f>_xlfn.CONCAT("tier", VLOOKUP(D177,tag_diff!$A:$BL,64,FALSE))</f>
        <v>tier1</v>
      </c>
      <c r="F177" s="3" t="str">
        <f>IFERROR(VLOOKUP(RIGHT(D177, LEN(D177) - 1),'post-link-extract'!$A:$E, 5, 0), "")</f>
        <v/>
      </c>
      <c r="G177" s="2" t="str">
        <f>_xlfn.CONCAT(IF(LEN(F177)=0, CONCATENATE(D177, "([""", C177, """])"), CONCATENATE(D177,"([""",params!$B$1, "&lt;a href=""", F177, """&gt;", C177, "&lt;/a&gt;""])")), ":::", E177)</f>
        <v>sliding_window(["슬라이딩 윈도우"]):::tier1</v>
      </c>
    </row>
    <row r="178" spans="1:7" ht="16.5" customHeight="1">
      <c r="A178" s="2" t="s">
        <v>179</v>
      </c>
      <c r="B178" s="2" t="str">
        <f t="shared" si="4"/>
        <v>함수_개형을_이용한_최적화(slope_trick)</v>
      </c>
      <c r="C178" s="2" t="str">
        <f t="shared" si="5"/>
        <v>함수 개형을 이용한 최적화</v>
      </c>
      <c r="D178" s="2" t="str">
        <f xml:space="preserve"> TRIM(RIGHT(SUBSTITUTE(A178," ",REPT(" ",100)),100))</f>
        <v>slope_trick</v>
      </c>
      <c r="E178" s="2" t="str">
        <f>_xlfn.CONCAT("tier", VLOOKUP(D178,tag_diff!$A:$BL,64,FALSE))</f>
        <v>tier4</v>
      </c>
      <c r="F178" s="3" t="str">
        <f>IFERROR(VLOOKUP(RIGHT(D178, LEN(D178) - 1),'post-link-extract'!$A:$E, 5, 0), "")</f>
        <v/>
      </c>
      <c r="G178" s="2" t="str">
        <f>_xlfn.CONCAT(IF(LEN(F178)=0, CONCATENATE(D178, "([""", C178, """])"), CONCATENATE(D178,"([""",params!$B$1, "&lt;a href=""", F178, """&gt;", C178, "&lt;/a&gt;""])")), ":::", E178)</f>
        <v>slope_trick(["함수 개형을 이용한 최적화"]):::tier4</v>
      </c>
    </row>
    <row r="179" spans="1:7" ht="16.5" customHeight="1">
      <c r="A179" s="2" t="s">
        <v>180</v>
      </c>
      <c r="B179" s="2" t="str">
        <f t="shared" si="4"/>
        <v>작은_집합에서_큰_집합으로_합치는_테크닉(smaller_to_larger)</v>
      </c>
      <c r="C179" s="2" t="str">
        <f t="shared" si="5"/>
        <v>작은 집합에서 큰 집합으로 합치는 테크닉</v>
      </c>
      <c r="D179" s="2" t="str">
        <f xml:space="preserve"> TRIM(RIGHT(SUBSTITUTE(A179," ",REPT(" ",100)),100))</f>
        <v>smaller_to_larger</v>
      </c>
      <c r="E179" s="2" t="str">
        <f>_xlfn.CONCAT("tier", VLOOKUP(D179,tag_diff!$A:$BL,64,FALSE))</f>
        <v>tier3</v>
      </c>
      <c r="F179" s="3" t="str">
        <f>IFERROR(VLOOKUP(RIGHT(D179, LEN(D179) - 1),'post-link-extract'!$A:$E, 5, 0), "")</f>
        <v/>
      </c>
      <c r="G179" s="2" t="str">
        <f>_xlfn.CONCAT(IF(LEN(F179)=0, CONCATENATE(D179, "([""", C179, """])"), CONCATENATE(D179,"([""",params!$B$1, "&lt;a href=""", F179, """&gt;", C179, "&lt;/a&gt;""])")), ":::", E179)</f>
        <v>smaller_to_larger(["작은 집합에서 큰 집합으로 합치는 테크닉"]):::tier3</v>
      </c>
    </row>
    <row r="180" spans="1:7" ht="16.5" customHeight="1">
      <c r="A180" s="2" t="s">
        <v>181</v>
      </c>
      <c r="B180" s="2" t="str">
        <f t="shared" si="4"/>
        <v>정렬(sorting)</v>
      </c>
      <c r="C180" s="2" t="str">
        <f t="shared" si="5"/>
        <v>정렬</v>
      </c>
      <c r="D180" s="2" t="str">
        <f xml:space="preserve"> TRIM(RIGHT(SUBSTITUTE(A180," ",REPT(" ",100)),100))</f>
        <v>sorting</v>
      </c>
      <c r="E180" s="2" t="str">
        <f>_xlfn.CONCAT("tier", VLOOKUP(D180,tag_diff!$A:$BL,64,FALSE))</f>
        <v>tier1</v>
      </c>
      <c r="F180" s="3" t="str">
        <f>IFERROR(VLOOKUP(RIGHT(D180, LEN(D180) - 1),'post-link-extract'!$A:$E, 5, 0), "")</f>
        <v/>
      </c>
      <c r="G180" s="2" t="str">
        <f>_xlfn.CONCAT(IF(LEN(F180)=0, CONCATENATE(D180, "([""", C180, """])"), CONCATENATE(D180,"([""",params!$B$1, "&lt;a href=""", F180, """&gt;", C180, "&lt;/a&gt;""])")), ":::", E180)</f>
        <v>sorting(["정렬"]):::tier1</v>
      </c>
    </row>
    <row r="181" spans="1:7" ht="16.5" customHeight="1">
      <c r="A181" s="2" t="s">
        <v>182</v>
      </c>
      <c r="B181" s="2" t="str">
        <f t="shared" si="4"/>
        <v>희소_배열(sparse_table)</v>
      </c>
      <c r="C181" s="2" t="str">
        <f t="shared" si="5"/>
        <v>희소 배열</v>
      </c>
      <c r="D181" s="2" t="str">
        <f xml:space="preserve"> TRIM(RIGHT(SUBSTITUTE(A181," ",REPT(" ",100)),100))</f>
        <v>sparse_table</v>
      </c>
      <c r="E181" s="2" t="str">
        <f>_xlfn.CONCAT("tier", VLOOKUP(D181,tag_diff!$A:$BL,64,FALSE))</f>
        <v>tier3</v>
      </c>
      <c r="F181" s="3" t="str">
        <f>IFERROR(VLOOKUP(RIGHT(D181, LEN(D181) - 1),'post-link-extract'!$A:$E, 5, 0), "")</f>
        <v/>
      </c>
      <c r="G181" s="2" t="str">
        <f>_xlfn.CONCAT(IF(LEN(F181)=0, CONCATENATE(D181, "([""", C181, """])"), CONCATENATE(D181,"([""",params!$B$1, "&lt;a href=""", F181, """&gt;", C181, "&lt;/a&gt;""])")), ":::", E181)</f>
        <v>sparse_table(["희소 배열"]):::tier3</v>
      </c>
    </row>
    <row r="182" spans="1:7" ht="16.5" customHeight="1">
      <c r="A182" s="2" t="s">
        <v>183</v>
      </c>
      <c r="B182" s="2" t="str">
        <f t="shared" si="4"/>
        <v>스플레이_트리(splay_tree)</v>
      </c>
      <c r="C182" s="2" t="str">
        <f t="shared" si="5"/>
        <v>스플레이 트리</v>
      </c>
      <c r="D182" s="2" t="str">
        <f xml:space="preserve"> TRIM(RIGHT(SUBSTITUTE(A182," ",REPT(" ",100)),100))</f>
        <v>splay_tree</v>
      </c>
      <c r="E182" s="2" t="str">
        <f>_xlfn.CONCAT("tier", VLOOKUP(D182,tag_diff!$A:$BL,64,FALSE))</f>
        <v>tier4</v>
      </c>
      <c r="F182" s="3" t="str">
        <f>IFERROR(VLOOKUP(RIGHT(D182, LEN(D182) - 1),'post-link-extract'!$A:$E, 5, 0), "")</f>
        <v/>
      </c>
      <c r="G182" s="2" t="str">
        <f>_xlfn.CONCAT(IF(LEN(F182)=0, CONCATENATE(D182, "([""", C182, """])"), CONCATENATE(D182,"([""",params!$B$1, "&lt;a href=""", F182, """&gt;", C182, "&lt;/a&gt;""])")), ":::", E182)</f>
        <v>splay_tree(["스플레이 트리"]):::tier4</v>
      </c>
    </row>
    <row r="183" spans="1:7" ht="16.5" customHeight="1">
      <c r="A183" s="2" t="s">
        <v>184</v>
      </c>
      <c r="B183" s="2" t="str">
        <f t="shared" si="4"/>
        <v>스프라그–그런디_정리(sprague_grundy)</v>
      </c>
      <c r="C183" s="2" t="str">
        <f t="shared" si="5"/>
        <v>스프라그–그런디 정리</v>
      </c>
      <c r="D183" s="2" t="str">
        <f xml:space="preserve"> TRIM(RIGHT(SUBSTITUTE(A183," ",REPT(" ",100)),100))</f>
        <v>sprague_grundy</v>
      </c>
      <c r="E183" s="2" t="str">
        <f>_xlfn.CONCAT("tier", VLOOKUP(D183,tag_diff!$A:$BL,64,FALSE))</f>
        <v>tier3</v>
      </c>
      <c r="F183" s="3" t="str">
        <f>IFERROR(VLOOKUP(RIGHT(D183, LEN(D183) - 1),'post-link-extract'!$A:$E, 5, 0), "")</f>
        <v/>
      </c>
      <c r="G183" s="2" t="str">
        <f>_xlfn.CONCAT(IF(LEN(F183)=0, CONCATENATE(D183, "([""", C183, """])"), CONCATENATE(D183,"([""",params!$B$1, "&lt;a href=""", F183, """&gt;", C183, "&lt;/a&gt;""])")), ":::", E183)</f>
        <v>sprague_grundy(["스프라그–그런디 정리"]):::tier3</v>
      </c>
    </row>
    <row r="184" spans="1:7" ht="16.5" customHeight="1">
      <c r="A184" s="2" t="s">
        <v>185</v>
      </c>
      <c r="B184" s="2" t="str">
        <f t="shared" si="4"/>
        <v>제곱근_분할법(sqrt_decomposition)</v>
      </c>
      <c r="C184" s="2" t="str">
        <f t="shared" si="5"/>
        <v>제곱근 분할법</v>
      </c>
      <c r="D184" s="2" t="str">
        <f xml:space="preserve"> TRIM(RIGHT(SUBSTITUTE(A184," ",REPT(" ",100)),100))</f>
        <v>sqrt_decomposition</v>
      </c>
      <c r="E184" s="2" t="str">
        <f>_xlfn.CONCAT("tier", VLOOKUP(D184,tag_diff!$A:$BL,64,FALSE))</f>
        <v>tier3</v>
      </c>
      <c r="F184" s="3" t="str">
        <f>IFERROR(VLOOKUP(RIGHT(D184, LEN(D184) - 1),'post-link-extract'!$A:$E, 5, 0), "")</f>
        <v/>
      </c>
      <c r="G184" s="2" t="str">
        <f>_xlfn.CONCAT(IF(LEN(F184)=0, CONCATENATE(D184, "([""", C184, """])"), CONCATENATE(D184,"([""",params!$B$1, "&lt;a href=""", F184, """&gt;", C184, "&lt;/a&gt;""])")), ":::", E184)</f>
        <v>sqrt_decomposition(["제곱근 분할법"]):::tier3</v>
      </c>
    </row>
    <row r="185" spans="1:7" ht="16.5" customHeight="1">
      <c r="A185" s="2" t="s">
        <v>186</v>
      </c>
      <c r="B185" s="2" t="str">
        <f t="shared" si="4"/>
        <v>안정_결혼_문제(stable_marriage)</v>
      </c>
      <c r="C185" s="2" t="str">
        <f t="shared" si="5"/>
        <v>안정 결혼 문제</v>
      </c>
      <c r="D185" s="2" t="str">
        <f xml:space="preserve"> TRIM(RIGHT(SUBSTITUTE(A185," ",REPT(" ",100)),100))</f>
        <v>stable_marriage</v>
      </c>
      <c r="E185" s="2" t="str">
        <f>_xlfn.CONCAT("tier", VLOOKUP(D185,tag_diff!$A:$BL,64,FALSE))</f>
        <v>tier3</v>
      </c>
      <c r="F185" s="3" t="str">
        <f>IFERROR(VLOOKUP(RIGHT(D185, LEN(D185) - 1),'post-link-extract'!$A:$E, 5, 0), "")</f>
        <v/>
      </c>
      <c r="G185" s="2" t="str">
        <f>_xlfn.CONCAT(IF(LEN(F185)=0, CONCATENATE(D185, "([""", C185, """])"), CONCATENATE(D185,"([""",params!$B$1, "&lt;a href=""", F185, """&gt;", C185, "&lt;/a&gt;""])")), ":::", E185)</f>
        <v>stable_marriage(["안정 결혼 문제"]):::tier3</v>
      </c>
    </row>
    <row r="186" spans="1:7" ht="16.5" customHeight="1">
      <c r="A186" s="2" t="s">
        <v>187</v>
      </c>
      <c r="B186" s="2" t="str">
        <f t="shared" si="4"/>
        <v>스택(stack)</v>
      </c>
      <c r="C186" s="2" t="str">
        <f t="shared" si="5"/>
        <v>스택</v>
      </c>
      <c r="D186" s="2" t="str">
        <f xml:space="preserve"> TRIM(RIGHT(SUBSTITUTE(A186," ",REPT(" ",100)),100))</f>
        <v>stack</v>
      </c>
      <c r="E186" s="2" t="str">
        <f>_xlfn.CONCAT("tier", VLOOKUP(D186,tag_diff!$A:$BL,64,FALSE))</f>
        <v>tier1</v>
      </c>
      <c r="F186" s="3" t="str">
        <f>IFERROR(VLOOKUP(RIGHT(D186, LEN(D186) - 1),'post-link-extract'!$A:$E, 5, 0), "")</f>
        <v/>
      </c>
      <c r="G186" s="2" t="str">
        <f>_xlfn.CONCAT(IF(LEN(F186)=0, CONCATENATE(D186, "([""", C186, """])"), CONCATENATE(D186,"([""",params!$B$1, "&lt;a href=""", F186, """&gt;", C186, "&lt;/a&gt;""])")), ":::", E186)</f>
        <v>stack(["스택"]):::tier1</v>
      </c>
    </row>
    <row r="187" spans="1:7" ht="16.5" customHeight="1">
      <c r="A187" s="2" t="s">
        <v>188</v>
      </c>
      <c r="B187" s="2" t="str">
        <f t="shared" si="4"/>
        <v>통계학(statistics)</v>
      </c>
      <c r="C187" s="2" t="str">
        <f t="shared" si="5"/>
        <v>통계학</v>
      </c>
      <c r="D187" s="2" t="str">
        <f xml:space="preserve"> TRIM(RIGHT(SUBSTITUTE(A187," ",REPT(" ",100)),100))</f>
        <v>statistics</v>
      </c>
      <c r="E187" s="2" t="str">
        <f>_xlfn.CONCAT("tier", VLOOKUP(D187,tag_diff!$A:$BL,64,FALSE))</f>
        <v>tier2</v>
      </c>
      <c r="F187" s="3" t="str">
        <f>IFERROR(VLOOKUP(RIGHT(D187, LEN(D187) - 1),'post-link-extract'!$A:$E, 5, 0), "")</f>
        <v/>
      </c>
      <c r="G187" s="2" t="str">
        <f>_xlfn.CONCAT(IF(LEN(F187)=0, CONCATENATE(D187, "([""", C187, """])"), CONCATENATE(D187,"([""",params!$B$1, "&lt;a href=""", F187, """&gt;", C187, "&lt;/a&gt;""])")), ":::", E187)</f>
        <v>statistics(["통계학"]):::tier2</v>
      </c>
    </row>
    <row r="188" spans="1:7" ht="16.5" customHeight="1">
      <c r="A188" s="2" t="s">
        <v>189</v>
      </c>
      <c r="B188" s="2" t="str">
        <f t="shared" si="4"/>
        <v>스토어–바그너(stoer_wagner)</v>
      </c>
      <c r="C188" s="2" t="str">
        <f t="shared" si="5"/>
        <v>스토어–바그너</v>
      </c>
      <c r="D188" s="2" t="str">
        <f xml:space="preserve"> TRIM(RIGHT(SUBSTITUTE(A188," ",REPT(" ",100)),100))</f>
        <v>stoer_wagner</v>
      </c>
      <c r="E188" s="2" t="str">
        <f>_xlfn.CONCAT("tier", VLOOKUP(D188,tag_diff!$A:$BL,64,FALSE))</f>
        <v>tier4</v>
      </c>
      <c r="F188" s="3" t="str">
        <f>IFERROR(VLOOKUP(RIGHT(D188, LEN(D188) - 1),'post-link-extract'!$A:$E, 5, 0), "")</f>
        <v/>
      </c>
      <c r="G188" s="2" t="str">
        <f>_xlfn.CONCAT(IF(LEN(F188)=0, CONCATENATE(D188, "([""", C188, """])"), CONCATENATE(D188,"([""",params!$B$1, "&lt;a href=""", F188, """&gt;", C188, "&lt;/a&gt;""])")), ":::", E188)</f>
        <v>stoer_wagner(["스토어–바그너"]):::tier4</v>
      </c>
    </row>
    <row r="189" spans="1:7" ht="16.5" customHeight="1">
      <c r="A189" s="2" t="s">
        <v>190</v>
      </c>
      <c r="B189" s="2" t="str">
        <f t="shared" si="4"/>
        <v>문자열(string)</v>
      </c>
      <c r="C189" s="2" t="str">
        <f t="shared" si="5"/>
        <v>문자열</v>
      </c>
      <c r="D189" s="2" t="str">
        <f xml:space="preserve"> TRIM(RIGHT(SUBSTITUTE(A189," ",REPT(" ",100)),100))</f>
        <v>string</v>
      </c>
      <c r="E189" s="2" t="str">
        <f>_xlfn.CONCAT("tier", VLOOKUP(D189,tag_diff!$A:$BL,64,FALSE))</f>
        <v>tier0</v>
      </c>
      <c r="F189" s="3" t="str">
        <f>IFERROR(VLOOKUP(RIGHT(D189, LEN(D189) - 1),'post-link-extract'!$A:$E, 5, 0), "")</f>
        <v/>
      </c>
      <c r="G189" s="2" t="str">
        <f>_xlfn.CONCAT(IF(LEN(F189)=0, CONCATENATE(D189, "([""", C189, """])"), CONCATENATE(D189,"([""",params!$B$1, "&lt;a href=""", F189, """&gt;", C189, "&lt;/a&gt;""])")), ":::", E189)</f>
        <v>string(["문자열"]):::tier0</v>
      </c>
    </row>
    <row r="190" spans="1:7" ht="16.5" customHeight="1">
      <c r="A190" s="2" t="s">
        <v>191</v>
      </c>
      <c r="B190" s="2" t="str">
        <f t="shared" si="4"/>
        <v>접미사_배열과_LCP_배열(suffix_array)</v>
      </c>
      <c r="C190" s="2" t="str">
        <f t="shared" si="5"/>
        <v>접미사 배열과 LCP 배열</v>
      </c>
      <c r="D190" s="2" t="str">
        <f xml:space="preserve"> TRIM(RIGHT(SUBSTITUTE(A190," ",REPT(" ",100)),100))</f>
        <v>suffix_array</v>
      </c>
      <c r="E190" s="2" t="str">
        <f>_xlfn.CONCAT("tier", VLOOKUP(D190,tag_diff!$A:$BL,64,FALSE))</f>
        <v>tier3</v>
      </c>
      <c r="F190" s="3" t="str">
        <f>IFERROR(VLOOKUP(RIGHT(D190, LEN(D190) - 1),'post-link-extract'!$A:$E, 5, 0), "")</f>
        <v/>
      </c>
      <c r="G190" s="2" t="str">
        <f>_xlfn.CONCAT(IF(LEN(F190)=0, CONCATENATE(D190, "([""", C190, """])"), CONCATENATE(D190,"([""",params!$B$1, "&lt;a href=""", F190, """&gt;", C190, "&lt;/a&gt;""])")), ":::", E190)</f>
        <v>suffix_array(["접미사 배열과 LCP 배열"]):::tier3</v>
      </c>
    </row>
    <row r="191" spans="1:7" ht="16.5" customHeight="1">
      <c r="A191" s="2" t="s">
        <v>192</v>
      </c>
      <c r="B191" s="2" t="str">
        <f t="shared" si="4"/>
        <v>접미사_트리(suffix_tree)</v>
      </c>
      <c r="C191" s="2" t="str">
        <f t="shared" si="5"/>
        <v>접미사 트리</v>
      </c>
      <c r="D191" s="2" t="str">
        <f xml:space="preserve"> TRIM(RIGHT(SUBSTITUTE(A191," ",REPT(" ",100)),100))</f>
        <v>suffix_tree</v>
      </c>
      <c r="E191" s="2" t="str">
        <f>_xlfn.CONCAT("tier", VLOOKUP(D191,tag_diff!$A:$BL,64,FALSE))</f>
        <v>tier5</v>
      </c>
      <c r="F191" s="3" t="str">
        <f>IFERROR(VLOOKUP(RIGHT(D191, LEN(D191) - 1),'post-link-extract'!$A:$E, 5, 0), "")</f>
        <v/>
      </c>
      <c r="G191" s="2" t="str">
        <f>_xlfn.CONCAT(IF(LEN(F191)=0, CONCATENATE(D191, "([""", C191, """])"), CONCATENATE(D191,"([""",params!$B$1, "&lt;a href=""", F191, """&gt;", C191, "&lt;/a&gt;""])")), ":::", E191)</f>
        <v>suffix_tree(["접미사 트리"]):::tier5</v>
      </c>
    </row>
    <row r="192" spans="1:7" ht="16.5" customHeight="1">
      <c r="A192" s="2" t="s">
        <v>193</v>
      </c>
      <c r="B192" s="2" t="str">
        <f t="shared" si="4"/>
        <v>스위핑(sweeping)</v>
      </c>
      <c r="C192" s="2" t="str">
        <f t="shared" si="5"/>
        <v>스위핑</v>
      </c>
      <c r="D192" s="2" t="str">
        <f xml:space="preserve"> TRIM(RIGHT(SUBSTITUTE(A192," ",REPT(" ",100)),100))</f>
        <v>sweeping</v>
      </c>
      <c r="E192" s="2" t="str">
        <f>_xlfn.CONCAT("tier", VLOOKUP(D192,tag_diff!$A:$BL,64,FALSE))</f>
        <v>tier2</v>
      </c>
      <c r="F192" s="3" t="str">
        <f>IFERROR(VLOOKUP(RIGHT(D192, LEN(D192) - 1),'post-link-extract'!$A:$E, 5, 0), "")</f>
        <v/>
      </c>
      <c r="G192" s="2" t="str">
        <f>_xlfn.CONCAT(IF(LEN(F192)=0, CONCATENATE(D192, "([""", C192, """])"), CONCATENATE(D192,"([""",params!$B$1, "&lt;a href=""", F192, """&gt;", C192, "&lt;/a&gt;""])")), ":::", E192)</f>
        <v>sweeping(["스위핑"]):::tier2</v>
      </c>
    </row>
    <row r="193" spans="1:7" ht="16.5" customHeight="1">
      <c r="A193" s="2" t="s">
        <v>194</v>
      </c>
      <c r="B193" s="2" t="str">
        <f t="shared" si="4"/>
        <v>삼분_탐색(ternary_search)</v>
      </c>
      <c r="C193" s="2" t="str">
        <f t="shared" si="5"/>
        <v>삼분 탐색</v>
      </c>
      <c r="D193" s="2" t="str">
        <f xml:space="preserve"> TRIM(RIGHT(SUBSTITUTE(A193," ",REPT(" ",100)),100))</f>
        <v>ternary_search</v>
      </c>
      <c r="E193" s="2" t="str">
        <f>_xlfn.CONCAT("tier", VLOOKUP(D193,tag_diff!$A:$BL,64,FALSE))</f>
        <v>tier2</v>
      </c>
      <c r="F193" s="3" t="str">
        <f>IFERROR(VLOOKUP(RIGHT(D193, LEN(D193) - 1),'post-link-extract'!$A:$E, 5, 0), "")</f>
        <v/>
      </c>
      <c r="G193" s="2" t="str">
        <f>_xlfn.CONCAT(IF(LEN(F193)=0, CONCATENATE(D193, "([""", C193, """])"), CONCATENATE(D193,"([""",params!$B$1, "&lt;a href=""", F193, """&gt;", C193, "&lt;/a&gt;""])")), ":::", E193)</f>
        <v>ternary_search(["삼분 탐색"]):::tier2</v>
      </c>
    </row>
    <row r="194" spans="1:7" ht="16.5" customHeight="1">
      <c r="A194" s="2" t="s">
        <v>195</v>
      </c>
      <c r="B194" s="2" t="str">
        <f t="shared" si="4"/>
        <v>탑_트리(top_tree)</v>
      </c>
      <c r="C194" s="2" t="str">
        <f t="shared" si="5"/>
        <v>탑 트리</v>
      </c>
      <c r="D194" s="2" t="str">
        <f xml:space="preserve"> TRIM(RIGHT(SUBSTITUTE(A194," ",REPT(" ",100)),100))</f>
        <v>top_tree</v>
      </c>
      <c r="E194" s="2" t="str">
        <f>_xlfn.CONCAT("tier", VLOOKUP(D194,tag_diff!$A:$BL,64,FALSE))</f>
        <v>tier5</v>
      </c>
      <c r="F194" s="3" t="str">
        <f>IFERROR(VLOOKUP(RIGHT(D194, LEN(D194) - 1),'post-link-extract'!$A:$E, 5, 0), "")</f>
        <v/>
      </c>
      <c r="G194" s="2" t="str">
        <f>_xlfn.CONCAT(IF(LEN(F194)=0, CONCATENATE(D194, "([""", C194, """])"), CONCATENATE(D194,"([""",params!$B$1, "&lt;a href=""", F194, """&gt;", C194, "&lt;/a&gt;""])")), ":::", E194)</f>
        <v>top_tree(["탑 트리"]):::tier5</v>
      </c>
    </row>
    <row r="195" spans="1:7" ht="16.5" customHeight="1">
      <c r="A195" s="2" t="s">
        <v>196</v>
      </c>
      <c r="B195" s="2" t="str">
        <f t="shared" ref="B195:B206" si="6">_xlfn.CONCAT(SUBSTITUTE(C195, " ", "_"),"(",D195,")")</f>
        <v>위상_정렬(topological_sorting)</v>
      </c>
      <c r="C195" s="2" t="str">
        <f t="shared" ref="C195:C206" si="7">MID(A195, 2, LEN(A195) - LEN(D195) - 2)</f>
        <v>위상 정렬</v>
      </c>
      <c r="D195" s="2" t="str">
        <f xml:space="preserve"> TRIM(RIGHT(SUBSTITUTE(A195," ",REPT(" ",100)),100))</f>
        <v>topological_sorting</v>
      </c>
      <c r="E195" s="2" t="str">
        <f>_xlfn.CONCAT("tier", VLOOKUP(D195,tag_diff!$A:$BL,64,FALSE))</f>
        <v>tier2</v>
      </c>
      <c r="F195" s="3" t="str">
        <f>IFERROR(VLOOKUP(RIGHT(D195, LEN(D195) - 1),'post-link-extract'!$A:$E, 5, 0), "")</f>
        <v/>
      </c>
      <c r="G195" s="2" t="str">
        <f>_xlfn.CONCAT(IF(LEN(F195)=0, CONCATENATE(D195, "([""", C195, """])"), CONCATENATE(D195,"([""",params!$B$1, "&lt;a href=""", F195, """&gt;", C195, "&lt;/a&gt;""])")), ":::", E195)</f>
        <v>topological_sorting(["위상 정렬"]):::tier2</v>
      </c>
    </row>
    <row r="196" spans="1:7" ht="16.5" customHeight="1">
      <c r="A196" s="2" t="s">
        <v>197</v>
      </c>
      <c r="B196" s="2" t="str">
        <f t="shared" si="6"/>
        <v>트리_압축(tree_compression)</v>
      </c>
      <c r="C196" s="2" t="str">
        <f t="shared" si="7"/>
        <v>트리 압축</v>
      </c>
      <c r="D196" s="2" t="str">
        <f xml:space="preserve"> TRIM(RIGHT(SUBSTITUTE(A196," ",REPT(" ",100)),100))</f>
        <v>tree_compression</v>
      </c>
      <c r="E196" s="2" t="str">
        <f>_xlfn.CONCAT("tier", VLOOKUP(D196,tag_diff!$A:$BL,64,FALSE))</f>
        <v>tier3</v>
      </c>
      <c r="F196" s="3" t="str">
        <f>IFERROR(VLOOKUP(RIGHT(D196, LEN(D196) - 1),'post-link-extract'!$A:$E, 5, 0), "")</f>
        <v/>
      </c>
      <c r="G196" s="2" t="str">
        <f>_xlfn.CONCAT(IF(LEN(F196)=0, CONCATENATE(D196, "([""", C196, """])"), CONCATENATE(D196,"([""",params!$B$1, "&lt;a href=""", F196, """&gt;", C196, "&lt;/a&gt;""])")), ":::", E196)</f>
        <v>tree_compression(["트리 압축"]):::tier3</v>
      </c>
    </row>
    <row r="197" spans="1:7" ht="16.5" customHeight="1">
      <c r="A197" s="2" t="s">
        <v>198</v>
      </c>
      <c r="B197" s="2" t="str">
        <f t="shared" si="6"/>
        <v>트리_분할(tree_decomposition)</v>
      </c>
      <c r="C197" s="2" t="str">
        <f t="shared" si="7"/>
        <v>트리 분할</v>
      </c>
      <c r="D197" s="2" t="str">
        <f xml:space="preserve"> TRIM(RIGHT(SUBSTITUTE(A197," ",REPT(" ",100)),100))</f>
        <v>tree_decomposition</v>
      </c>
      <c r="E197" s="2" t="str">
        <f>_xlfn.CONCAT("tier", VLOOKUP(D197,tag_diff!$A:$BL,64,FALSE))</f>
        <v>tier4</v>
      </c>
      <c r="F197" s="3" t="str">
        <f>IFERROR(VLOOKUP(RIGHT(D197, LEN(D197) - 1),'post-link-extract'!$A:$E, 5, 0), "")</f>
        <v/>
      </c>
      <c r="G197" s="2" t="str">
        <f>_xlfn.CONCAT(IF(LEN(F197)=0, CONCATENATE(D197, "([""", C197, """])"), CONCATENATE(D197,"([""",params!$B$1, "&lt;a href=""", F197, """&gt;", C197, "&lt;/a&gt;""])")), ":::", E197)</f>
        <v>tree_decomposition(["트리 분할"]):::tier4</v>
      </c>
    </row>
    <row r="198" spans="1:7" ht="16.5" customHeight="1">
      <c r="A198" s="2" t="s">
        <v>199</v>
      </c>
      <c r="B198" s="2" t="str">
        <f t="shared" si="6"/>
        <v>트리_동형_사상(tree_isomorphism)</v>
      </c>
      <c r="C198" s="2" t="str">
        <f t="shared" si="7"/>
        <v>트리 동형 사상</v>
      </c>
      <c r="D198" s="2" t="str">
        <f xml:space="preserve"> TRIM(RIGHT(SUBSTITUTE(A198," ",REPT(" ",100)),100))</f>
        <v>tree_isomorphism</v>
      </c>
      <c r="E198" s="2" t="str">
        <f>_xlfn.CONCAT("tier", VLOOKUP(D198,tag_diff!$A:$BL,64,FALSE))</f>
        <v>tier3</v>
      </c>
      <c r="F198" s="3" t="str">
        <f>IFERROR(VLOOKUP(RIGHT(D198, LEN(D198) - 1),'post-link-extract'!$A:$E, 5, 0), "")</f>
        <v/>
      </c>
      <c r="G198" s="2" t="str">
        <f>_xlfn.CONCAT(IF(LEN(F198)=0, CONCATENATE(D198, "([""", C198, """])"), CONCATENATE(D198,"([""",params!$B$1, "&lt;a href=""", F198, """&gt;", C198, "&lt;/a&gt;""])")), ":::", E198)</f>
        <v>tree_isomorphism(["트리 동형 사상"]):::tier3</v>
      </c>
    </row>
    <row r="199" spans="1:7" ht="16.5" customHeight="1">
      <c r="A199" s="2" t="s">
        <v>200</v>
      </c>
      <c r="B199" s="2" t="str">
        <f t="shared" si="6"/>
        <v>트리를_사용한_집합과_맵(tree_set)</v>
      </c>
      <c r="C199" s="2" t="str">
        <f t="shared" si="7"/>
        <v>트리를 사용한 집합과 맵</v>
      </c>
      <c r="D199" s="2" t="str">
        <f xml:space="preserve"> TRIM(RIGHT(SUBSTITUTE(A199," ",REPT(" ",100)),100))</f>
        <v>tree_set</v>
      </c>
      <c r="E199" s="2" t="str">
        <f>_xlfn.CONCAT("tier", VLOOKUP(D199,tag_diff!$A:$BL,64,FALSE))</f>
        <v>tier2</v>
      </c>
      <c r="F199" s="3" t="str">
        <f>IFERROR(VLOOKUP(RIGHT(D199, LEN(D199) - 1),'post-link-extract'!$A:$E, 5, 0), "")</f>
        <v/>
      </c>
      <c r="G199" s="2" t="str">
        <f>_xlfn.CONCAT(IF(LEN(F199)=0, CONCATENATE(D199, "([""", C199, """])"), CONCATENATE(D199,"([""",params!$B$1, "&lt;a href=""", F199, """&gt;", C199, "&lt;/a&gt;""])")), ":::", E199)</f>
        <v>tree_set(["트리를 사용한 집합과 맵"]):::tier2</v>
      </c>
    </row>
    <row r="200" spans="1:7" ht="16.5" customHeight="1">
      <c r="A200" s="2" t="s">
        <v>201</v>
      </c>
      <c r="B200" s="2" t="str">
        <f t="shared" si="6"/>
        <v>트리(trees)</v>
      </c>
      <c r="C200" s="2" t="str">
        <f t="shared" si="7"/>
        <v>트리</v>
      </c>
      <c r="D200" s="2" t="str">
        <f xml:space="preserve"> TRIM(RIGHT(SUBSTITUTE(A200," ",REPT(" ",100)),100))</f>
        <v>trees</v>
      </c>
      <c r="E200" s="2" t="str">
        <f>_xlfn.CONCAT("tier", VLOOKUP(D200,tag_diff!$A:$BL,64,FALSE))</f>
        <v>tier2</v>
      </c>
      <c r="F200" s="3" t="str">
        <f>IFERROR(VLOOKUP(RIGHT(D200, LEN(D200) - 1),'post-link-extract'!$A:$E, 5, 0), "")</f>
        <v/>
      </c>
      <c r="G200" s="2" t="str">
        <f>_xlfn.CONCAT(IF(LEN(F200)=0, CONCATENATE(D200, "([""", C200, """])"), CONCATENATE(D200,"([""",params!$B$1, "&lt;a href=""", F200, """&gt;", C200, "&lt;/a&gt;""])")), ":::", E200)</f>
        <v>trees(["트리"]):::tier2</v>
      </c>
    </row>
    <row r="201" spans="1:7" ht="16.5" customHeight="1">
      <c r="A201" s="2" t="s">
        <v>202</v>
      </c>
      <c r="B201" s="2" t="str">
        <f t="shared" si="6"/>
        <v>트라이(trie)</v>
      </c>
      <c r="C201" s="2" t="str">
        <f t="shared" si="7"/>
        <v>트라이</v>
      </c>
      <c r="D201" s="2" t="str">
        <f xml:space="preserve"> TRIM(RIGHT(SUBSTITUTE(A201," ",REPT(" ",100)),100))</f>
        <v>trie</v>
      </c>
      <c r="E201" s="2" t="str">
        <f>_xlfn.CONCAT("tier", VLOOKUP(D201,tag_diff!$A:$BL,64,FALSE))</f>
        <v>tier3</v>
      </c>
      <c r="F201" s="3" t="str">
        <f>IFERROR(VLOOKUP(RIGHT(D201, LEN(D201) - 1),'post-link-extract'!$A:$E, 5, 0), "")</f>
        <v/>
      </c>
      <c r="G201" s="2" t="str">
        <f>_xlfn.CONCAT(IF(LEN(F201)=0, CONCATENATE(D201, "([""", C201, """])"), CONCATENATE(D201,"([""",params!$B$1, "&lt;a href=""", F201, """&gt;", C201, "&lt;/a&gt;""])")), ":::", E201)</f>
        <v>trie(["트라이"]):::tier3</v>
      </c>
    </row>
    <row r="202" spans="1:7" ht="16.5" customHeight="1">
      <c r="A202" s="2" t="s">
        <v>203</v>
      </c>
      <c r="B202" s="2" t="str">
        <f t="shared" si="6"/>
        <v>외판원_순회_문제(tsp)</v>
      </c>
      <c r="C202" s="2" t="str">
        <f t="shared" si="7"/>
        <v>외판원 순회 문제</v>
      </c>
      <c r="D202" s="2" t="str">
        <f xml:space="preserve"> TRIM(RIGHT(SUBSTITUTE(A202," ",REPT(" ",100)),100))</f>
        <v>tsp</v>
      </c>
      <c r="E202" s="2" t="str">
        <f>_xlfn.CONCAT("tier", VLOOKUP(D202,tag_diff!$A:$BL,64,FALSE))</f>
        <v>tier2</v>
      </c>
      <c r="F202" s="3" t="str">
        <f>IFERROR(VLOOKUP(RIGHT(D202, LEN(D202) - 1),'post-link-extract'!$A:$E, 5, 0), "")</f>
        <v/>
      </c>
      <c r="G202" s="2" t="str">
        <f>_xlfn.CONCAT(IF(LEN(F202)=0, CONCATENATE(D202, "([""", C202, """])"), CONCATENATE(D202,"([""",params!$B$1, "&lt;a href=""", F202, """&gt;", C202, "&lt;/a&gt;""])")), ":::", E202)</f>
        <v>tsp(["외판원 순회 문제"]):::tier2</v>
      </c>
    </row>
    <row r="203" spans="1:7" ht="16.5" customHeight="1">
      <c r="A203" s="2" t="s">
        <v>204</v>
      </c>
      <c r="B203" s="2" t="str">
        <f t="shared" si="6"/>
        <v>두_포인터(two_pointer)</v>
      </c>
      <c r="C203" s="2" t="str">
        <f t="shared" si="7"/>
        <v>두 포인터</v>
      </c>
      <c r="D203" s="2" t="str">
        <f xml:space="preserve"> TRIM(RIGHT(SUBSTITUTE(A203," ",REPT(" ",100)),100))</f>
        <v>two_pointer</v>
      </c>
      <c r="E203" s="2" t="str">
        <f>_xlfn.CONCAT("tier", VLOOKUP(D203,tag_diff!$A:$BL,64,FALSE))</f>
        <v>tier2</v>
      </c>
      <c r="F203" s="3" t="str">
        <f>IFERROR(VLOOKUP(RIGHT(D203, LEN(D203) - 1),'post-link-extract'!$A:$E, 5, 0), "")</f>
        <v/>
      </c>
      <c r="G203" s="2" t="str">
        <f>_xlfn.CONCAT(IF(LEN(F203)=0, CONCATENATE(D203, "([""", C203, """])"), CONCATENATE(D203,"([""",params!$B$1, "&lt;a href=""", F203, """&gt;", C203, "&lt;/a&gt;""])")), ":::", E203)</f>
        <v>two_pointer(["두 포인터"]):::tier2</v>
      </c>
    </row>
    <row r="204" spans="1:7" ht="16.5" customHeight="1">
      <c r="A204" s="2" t="s">
        <v>205</v>
      </c>
      <c r="B204" s="2" t="str">
        <f t="shared" si="6"/>
        <v>utf-8_입력_처리(utf8)</v>
      </c>
      <c r="C204" s="2" t="str">
        <f t="shared" si="7"/>
        <v>utf-8 입력 처리</v>
      </c>
      <c r="D204" s="2" t="str">
        <f xml:space="preserve"> TRIM(RIGHT(SUBSTITUTE(A204," ",REPT(" ",100)),100))</f>
        <v>utf8</v>
      </c>
      <c r="E204" s="2" t="str">
        <f>_xlfn.CONCAT("tier", VLOOKUP(D204,tag_diff!$A:$BL,64,FALSE))</f>
        <v>tier0</v>
      </c>
      <c r="F204" s="3" t="str">
        <f>IFERROR(VLOOKUP(RIGHT(D204, LEN(D204) - 1),'post-link-extract'!$A:$E, 5, 0), "")</f>
        <v/>
      </c>
      <c r="G204" s="2" t="str">
        <f>_xlfn.CONCAT(IF(LEN(F204)=0, CONCATENATE(D204, "([""", C204, """])"), CONCATENATE(D204,"([""",params!$B$1, "&lt;a href=""", F204, """&gt;", C204, "&lt;/a&gt;""])")), ":::", E204)</f>
        <v>utf8(["utf-8 입력 처리"]):::tier0</v>
      </c>
    </row>
    <row r="205" spans="1:7" ht="16.5" customHeight="1">
      <c r="A205" s="2" t="s">
        <v>206</v>
      </c>
      <c r="B205" s="2" t="str">
        <f t="shared" si="6"/>
        <v>보로노이_다이어그램(voronoi)</v>
      </c>
      <c r="C205" s="2" t="str">
        <f t="shared" si="7"/>
        <v>보로노이 다이어그램</v>
      </c>
      <c r="D205" s="2" t="str">
        <f xml:space="preserve"> TRIM(RIGHT(SUBSTITUTE(A205," ",REPT(" ",100)),100))</f>
        <v>voronoi</v>
      </c>
      <c r="E205" s="2" t="str">
        <f>_xlfn.CONCAT("tier", VLOOKUP(D205,tag_diff!$A:$BL,64,FALSE))</f>
        <v>tier3</v>
      </c>
      <c r="F205" s="3" t="str">
        <f>IFERROR(VLOOKUP(RIGHT(D205, LEN(D205) - 1),'post-link-extract'!$A:$E, 5, 0), "")</f>
        <v/>
      </c>
      <c r="G205" s="2" t="str">
        <f>_xlfn.CONCAT(IF(LEN(F205)=0, CONCATENATE(D205, "([""", C205, """])"), CONCATENATE(D205,"([""",params!$B$1, "&lt;a href=""", F205, """&gt;", C205, "&lt;/a&gt;""])")), ":::", E205)</f>
        <v>voronoi(["보로노이 다이어그램"]):::tier3</v>
      </c>
    </row>
    <row r="206" spans="1:7" ht="16.5" customHeight="1">
      <c r="A206" s="2" t="s">
        <v>207</v>
      </c>
      <c r="B206" s="2" t="str">
        <f t="shared" si="6"/>
        <v>z(z)</v>
      </c>
      <c r="C206" s="2" t="str">
        <f t="shared" si="7"/>
        <v>z</v>
      </c>
      <c r="D206" s="2" t="str">
        <f xml:space="preserve"> TRIM(RIGHT(SUBSTITUTE(A206," ",REPT(" ",100)),100))</f>
        <v>z</v>
      </c>
      <c r="E206" s="2" t="str">
        <f>_xlfn.CONCAT("tier", VLOOKUP(D206,tag_diff!$A:$BL,64,FALSE))</f>
        <v>tier3</v>
      </c>
      <c r="F206" s="3" t="str">
        <f>IFERROR(VLOOKUP(RIGHT(D206, LEN(D206) - 1),'post-link-extract'!$A:$E, 5, 0), "")</f>
        <v/>
      </c>
      <c r="G206" s="2" t="str">
        <f>_xlfn.CONCAT(IF(LEN(F206)=0, CONCATENATE(D206, "([""", C206, """])"), CONCATENATE(D206,"([""",params!$B$1, "&lt;a href=""", F206, """&gt;", C206, "&lt;/a&gt;""])")), ":::", E206)</f>
        <v>z(["z"]):::tier3</v>
      </c>
    </row>
    <row r="207" spans="1:7" ht="16.5" customHeight="1">
      <c r="F207" s="3"/>
    </row>
    <row r="208" spans="1:7" ht="16.5" customHeight="1">
      <c r="F208" s="3"/>
    </row>
    <row r="209" spans="6:6" ht="16.5" customHeight="1">
      <c r="F209" s="3"/>
    </row>
    <row r="210" spans="6:6" ht="16.5" customHeight="1">
      <c r="F210" s="3"/>
    </row>
    <row r="211" spans="6:6" ht="16.5" customHeight="1">
      <c r="F211" s="3"/>
    </row>
    <row r="212" spans="6:6" ht="16.5" customHeight="1">
      <c r="F212" s="3"/>
    </row>
    <row r="213" spans="6:6" ht="16.5" customHeight="1">
      <c r="F213" s="3"/>
    </row>
    <row r="214" spans="6:6" ht="16.5" customHeight="1">
      <c r="F214" s="3"/>
    </row>
    <row r="215" spans="6:6" ht="16.5" customHeight="1">
      <c r="F215" s="3"/>
    </row>
    <row r="216" spans="6:6" ht="16.5" customHeight="1">
      <c r="F216" s="3"/>
    </row>
    <row r="217" spans="6:6" ht="16.5" customHeight="1">
      <c r="F217" s="3"/>
    </row>
    <row r="218" spans="6:6" ht="16.5" customHeight="1">
      <c r="F218" s="3"/>
    </row>
    <row r="219" spans="6:6" ht="16.5" customHeight="1">
      <c r="F219" s="3"/>
    </row>
    <row r="220" spans="6:6" ht="16.5" customHeight="1">
      <c r="F220" s="3"/>
    </row>
    <row r="221" spans="6:6" ht="16.5" customHeight="1">
      <c r="F221" s="3"/>
    </row>
    <row r="222" spans="6:6" ht="16.5" customHeight="1">
      <c r="F222" s="3"/>
    </row>
    <row r="223" spans="6:6" ht="16.5" customHeight="1">
      <c r="F223" s="3"/>
    </row>
    <row r="224" spans="6:6" ht="16.5" customHeight="1">
      <c r="F224" s="3"/>
    </row>
    <row r="225" spans="6:6" ht="16.5" customHeight="1">
      <c r="F225" s="3"/>
    </row>
    <row r="226" spans="6:6" ht="16.5" customHeight="1">
      <c r="F226" s="3"/>
    </row>
    <row r="227" spans="6:6" ht="16.5" customHeight="1">
      <c r="F227" s="3"/>
    </row>
    <row r="228" spans="6:6" ht="16.5" customHeight="1">
      <c r="F228" s="3"/>
    </row>
    <row r="229" spans="6:6" ht="16.5" customHeight="1">
      <c r="F229" s="3"/>
    </row>
    <row r="230" spans="6:6" ht="16.5" customHeight="1">
      <c r="F230" s="3"/>
    </row>
    <row r="231" spans="6:6" ht="16.5" customHeight="1">
      <c r="F231" s="3"/>
    </row>
    <row r="232" spans="6:6" ht="16.5" customHeight="1">
      <c r="F232" s="3"/>
    </row>
    <row r="233" spans="6:6" ht="16.5" customHeight="1">
      <c r="F233" s="3"/>
    </row>
    <row r="234" spans="6:6" ht="16.5" customHeight="1">
      <c r="F234" s="3"/>
    </row>
    <row r="235" spans="6:6" ht="16.5" customHeight="1">
      <c r="F235" s="3"/>
    </row>
    <row r="236" spans="6:6" ht="16.5" customHeight="1">
      <c r="F236" s="3"/>
    </row>
    <row r="237" spans="6:6" ht="16.5" customHeight="1">
      <c r="F237" s="3"/>
    </row>
    <row r="238" spans="6:6" ht="16.5" customHeight="1">
      <c r="F238" s="3"/>
    </row>
    <row r="239" spans="6:6" ht="16.5" customHeight="1">
      <c r="F239" s="3"/>
    </row>
    <row r="240" spans="6:6" ht="16.5" customHeight="1">
      <c r="F240" s="3"/>
    </row>
    <row r="241" spans="6:6" ht="16.5" customHeight="1">
      <c r="F241" s="3"/>
    </row>
    <row r="242" spans="6:6" ht="16.5" customHeight="1">
      <c r="F242" s="3"/>
    </row>
    <row r="243" spans="6:6" ht="16.5" customHeight="1">
      <c r="F243" s="3"/>
    </row>
    <row r="244" spans="6:6" ht="16.5" customHeight="1">
      <c r="F244" s="3"/>
    </row>
    <row r="245" spans="6:6" ht="16.5" customHeight="1">
      <c r="F245" s="3"/>
    </row>
    <row r="246" spans="6:6" ht="16.5" customHeight="1">
      <c r="F246" s="3"/>
    </row>
    <row r="247" spans="6:6" ht="16.5" customHeight="1">
      <c r="F247" s="3"/>
    </row>
    <row r="248" spans="6:6" ht="16.5" customHeight="1">
      <c r="F248" s="3"/>
    </row>
    <row r="249" spans="6:6" ht="16.5" customHeight="1">
      <c r="F249" s="3"/>
    </row>
    <row r="250" spans="6:6" ht="16.5" customHeight="1">
      <c r="F250" s="3"/>
    </row>
    <row r="251" spans="6:6" ht="16.5" customHeight="1">
      <c r="F251" s="3"/>
    </row>
    <row r="252" spans="6:6" ht="16.5" customHeight="1">
      <c r="F252" s="3"/>
    </row>
    <row r="253" spans="6:6" ht="16.5" customHeight="1">
      <c r="F253" s="3"/>
    </row>
    <row r="254" spans="6:6" ht="16.5" customHeight="1">
      <c r="F254" s="3"/>
    </row>
    <row r="255" spans="6:6" ht="16.5" customHeight="1">
      <c r="F255" s="3"/>
    </row>
    <row r="256" spans="6:6" ht="16.5" customHeight="1">
      <c r="F256" s="3"/>
    </row>
    <row r="257" spans="6:6" ht="16.5" customHeight="1">
      <c r="F257" s="3"/>
    </row>
    <row r="258" spans="6:6" ht="16.5" customHeight="1">
      <c r="F258" s="3"/>
    </row>
    <row r="259" spans="6:6" ht="16.5" customHeight="1">
      <c r="F259" s="3"/>
    </row>
    <row r="260" spans="6:6" ht="16.5" customHeight="1">
      <c r="F260" s="3"/>
    </row>
    <row r="261" spans="6:6" ht="16.5" customHeight="1">
      <c r="F261" s="3"/>
    </row>
    <row r="262" spans="6:6" ht="16.5" customHeight="1">
      <c r="F262" s="3"/>
    </row>
    <row r="263" spans="6:6" ht="16.5" customHeight="1">
      <c r="F263" s="3"/>
    </row>
    <row r="264" spans="6:6" ht="16.5" customHeight="1">
      <c r="F264" s="3"/>
    </row>
    <row r="265" spans="6:6" ht="16.5" customHeight="1">
      <c r="F265" s="3"/>
    </row>
    <row r="266" spans="6:6" ht="16.5" customHeight="1">
      <c r="F266" s="3"/>
    </row>
    <row r="267" spans="6:6" ht="16.5" customHeight="1">
      <c r="F267" s="3"/>
    </row>
    <row r="268" spans="6:6" ht="16.5" customHeight="1">
      <c r="F268" s="3"/>
    </row>
    <row r="269" spans="6:6" ht="16.5" customHeight="1">
      <c r="F269" s="3"/>
    </row>
    <row r="270" spans="6:6" ht="16.5" customHeight="1">
      <c r="F270" s="3"/>
    </row>
    <row r="271" spans="6:6" ht="16.5" customHeight="1">
      <c r="F271" s="3"/>
    </row>
    <row r="272" spans="6:6" ht="16.5" customHeight="1">
      <c r="F272" s="3"/>
    </row>
    <row r="273" spans="6:6" ht="16.5" customHeight="1">
      <c r="F273" s="3"/>
    </row>
    <row r="274" spans="6:6" ht="16.5" customHeight="1">
      <c r="F274" s="3"/>
    </row>
    <row r="275" spans="6:6" ht="16.5" customHeight="1">
      <c r="F275" s="3"/>
    </row>
    <row r="276" spans="6:6" ht="16.5" customHeight="1">
      <c r="F276" s="3"/>
    </row>
    <row r="277" spans="6:6" ht="16.5" customHeight="1">
      <c r="F277" s="3"/>
    </row>
    <row r="278" spans="6:6" ht="16.5" customHeight="1">
      <c r="F278" s="3"/>
    </row>
    <row r="279" spans="6:6" ht="16.5" customHeight="1">
      <c r="F279" s="3"/>
    </row>
    <row r="280" spans="6:6" ht="16.5" customHeight="1">
      <c r="F280" s="3"/>
    </row>
    <row r="281" spans="6:6" ht="16.5" customHeight="1">
      <c r="F281" s="3"/>
    </row>
    <row r="282" spans="6:6" ht="16.5" customHeight="1">
      <c r="F282" s="3"/>
    </row>
    <row r="283" spans="6:6" ht="16.5" customHeight="1">
      <c r="F283" s="3"/>
    </row>
    <row r="284" spans="6:6" ht="16.5" customHeight="1">
      <c r="F284" s="3"/>
    </row>
    <row r="285" spans="6:6" ht="16.5" customHeight="1">
      <c r="F285" s="3"/>
    </row>
    <row r="286" spans="6:6" ht="16.5" customHeight="1">
      <c r="F286" s="3"/>
    </row>
    <row r="287" spans="6:6" ht="16.5" customHeight="1">
      <c r="F287" s="3"/>
    </row>
    <row r="288" spans="6:6" ht="16.5" customHeight="1">
      <c r="F288" s="3"/>
    </row>
    <row r="289" spans="6:6" ht="16.5" customHeight="1">
      <c r="F289" s="3"/>
    </row>
    <row r="290" spans="6:6" ht="16.5" customHeight="1">
      <c r="F290" s="3"/>
    </row>
    <row r="291" spans="6:6" ht="16.5" customHeight="1">
      <c r="F291" s="3"/>
    </row>
    <row r="292" spans="6:6" ht="16.5" customHeight="1">
      <c r="F292" s="3"/>
    </row>
    <row r="293" spans="6:6" ht="16.5" customHeight="1">
      <c r="F293" s="3"/>
    </row>
    <row r="294" spans="6:6" ht="16.5" customHeight="1">
      <c r="F294" s="3"/>
    </row>
    <row r="295" spans="6:6" ht="16.5" customHeight="1">
      <c r="F295" s="3"/>
    </row>
    <row r="296" spans="6:6" ht="16.5" customHeight="1">
      <c r="F296" s="3"/>
    </row>
    <row r="297" spans="6:6" ht="16.5" customHeight="1">
      <c r="F297" s="3"/>
    </row>
    <row r="298" spans="6:6" ht="16.5" customHeight="1">
      <c r="F298" s="3"/>
    </row>
    <row r="299" spans="6:6" ht="16.5" customHeight="1">
      <c r="F299" s="3"/>
    </row>
    <row r="300" spans="6:6" ht="16.5" customHeight="1">
      <c r="F300" s="3"/>
    </row>
    <row r="301" spans="6:6" ht="16.5" customHeight="1">
      <c r="F301" s="3"/>
    </row>
    <row r="302" spans="6:6" ht="16.5" customHeight="1">
      <c r="F302" s="3"/>
    </row>
    <row r="303" spans="6:6" ht="16.5" customHeight="1">
      <c r="F303" s="3"/>
    </row>
    <row r="304" spans="6:6" ht="16.5" customHeight="1">
      <c r="F304" s="3"/>
    </row>
    <row r="305" spans="6:6" ht="16.5" customHeight="1">
      <c r="F305" s="3"/>
    </row>
    <row r="306" spans="6:6" ht="16.5" customHeight="1">
      <c r="F306" s="3"/>
    </row>
    <row r="307" spans="6:6" ht="16.5" customHeight="1">
      <c r="F307" s="3"/>
    </row>
    <row r="308" spans="6:6" ht="16.5" customHeight="1">
      <c r="F308" s="3"/>
    </row>
    <row r="309" spans="6:6" ht="16.5" customHeight="1">
      <c r="F309" s="3"/>
    </row>
    <row r="310" spans="6:6" ht="16.5" customHeight="1">
      <c r="F310" s="3"/>
    </row>
    <row r="311" spans="6:6" ht="16.5" customHeight="1">
      <c r="F311" s="3"/>
    </row>
    <row r="312" spans="6:6" ht="16.5" customHeight="1">
      <c r="F312" s="3"/>
    </row>
    <row r="313" spans="6:6" ht="16.5" customHeight="1">
      <c r="F313" s="3"/>
    </row>
    <row r="314" spans="6:6" ht="16.5" customHeight="1">
      <c r="F314" s="3"/>
    </row>
    <row r="315" spans="6:6" ht="16.5" customHeight="1">
      <c r="F315" s="3"/>
    </row>
    <row r="316" spans="6:6" ht="16.5" customHeight="1">
      <c r="F316" s="3"/>
    </row>
    <row r="317" spans="6:6" ht="16.5" customHeight="1">
      <c r="F317" s="3"/>
    </row>
    <row r="318" spans="6:6" ht="16.5" customHeight="1">
      <c r="F318" s="3"/>
    </row>
    <row r="319" spans="6:6" ht="16.5" customHeight="1">
      <c r="F319" s="3"/>
    </row>
    <row r="320" spans="6:6" ht="16.5" customHeight="1">
      <c r="F320" s="3"/>
    </row>
    <row r="321" spans="6:6" ht="16.5" customHeight="1">
      <c r="F321" s="3"/>
    </row>
    <row r="322" spans="6:6" ht="16.5" customHeight="1">
      <c r="F322" s="3"/>
    </row>
    <row r="323" spans="6:6" ht="16.5" customHeight="1">
      <c r="F323" s="3"/>
    </row>
    <row r="324" spans="6:6" ht="16.5" customHeight="1">
      <c r="F324" s="3"/>
    </row>
    <row r="325" spans="6:6" ht="16.5" customHeight="1">
      <c r="F325" s="3"/>
    </row>
    <row r="326" spans="6:6" ht="16.5" customHeight="1">
      <c r="F326" s="3"/>
    </row>
    <row r="327" spans="6:6" ht="16.5" customHeight="1">
      <c r="F327" s="3"/>
    </row>
    <row r="328" spans="6:6" ht="16.5" customHeight="1">
      <c r="F328" s="3"/>
    </row>
    <row r="329" spans="6:6" ht="16.5" customHeight="1">
      <c r="F329" s="3"/>
    </row>
    <row r="330" spans="6:6" ht="16.5" customHeight="1">
      <c r="F330" s="3"/>
    </row>
    <row r="331" spans="6:6" ht="16.5" customHeight="1">
      <c r="F331" s="3"/>
    </row>
    <row r="332" spans="6:6" ht="16.5" customHeight="1">
      <c r="F332" s="3"/>
    </row>
    <row r="333" spans="6:6" ht="16.5" customHeight="1">
      <c r="F333" s="3"/>
    </row>
    <row r="334" spans="6:6" ht="16.5" customHeight="1">
      <c r="F334" s="3"/>
    </row>
    <row r="335" spans="6:6" ht="16.5" customHeight="1">
      <c r="F335" s="3"/>
    </row>
    <row r="336" spans="6:6" ht="16.5" customHeight="1">
      <c r="F336" s="3"/>
    </row>
    <row r="337" spans="6:6" ht="16.5" customHeight="1">
      <c r="F337" s="3"/>
    </row>
    <row r="338" spans="6:6" ht="16.5" customHeight="1">
      <c r="F338" s="3"/>
    </row>
    <row r="339" spans="6:6" ht="16.5" customHeight="1">
      <c r="F339" s="3"/>
    </row>
    <row r="340" spans="6:6" ht="16.5" customHeight="1">
      <c r="F340" s="3"/>
    </row>
    <row r="341" spans="6:6" ht="16.5" customHeight="1">
      <c r="F341" s="3"/>
    </row>
    <row r="342" spans="6:6" ht="16.5" customHeight="1">
      <c r="F342" s="3"/>
    </row>
    <row r="343" spans="6:6" ht="16.5" customHeight="1">
      <c r="F343" s="3"/>
    </row>
    <row r="344" spans="6:6" ht="16.5" customHeight="1">
      <c r="F344" s="3"/>
    </row>
    <row r="345" spans="6:6" ht="16.5" customHeight="1">
      <c r="F345" s="3"/>
    </row>
    <row r="346" spans="6:6" ht="16.5" customHeight="1">
      <c r="F346" s="3"/>
    </row>
    <row r="347" spans="6:6" ht="16.5" customHeight="1">
      <c r="F347" s="3"/>
    </row>
    <row r="348" spans="6:6" ht="16.5" customHeight="1">
      <c r="F348" s="3"/>
    </row>
    <row r="349" spans="6:6" ht="16.5" customHeight="1">
      <c r="F349" s="3"/>
    </row>
    <row r="350" spans="6:6" ht="16.5" customHeight="1">
      <c r="F350" s="3"/>
    </row>
    <row r="351" spans="6:6" ht="16.5" customHeight="1">
      <c r="F351" s="3"/>
    </row>
    <row r="352" spans="6:6" ht="16.5" customHeight="1">
      <c r="F352" s="3"/>
    </row>
    <row r="353" spans="6:6" ht="16.5" customHeight="1">
      <c r="F353" s="3"/>
    </row>
    <row r="354" spans="6:6" ht="16.5" customHeight="1">
      <c r="F354" s="3"/>
    </row>
    <row r="355" spans="6:6" ht="16.5" customHeight="1">
      <c r="F355" s="3"/>
    </row>
    <row r="356" spans="6:6" ht="16.5" customHeight="1">
      <c r="F356" s="3"/>
    </row>
    <row r="357" spans="6:6" ht="16.5" customHeight="1">
      <c r="F357" s="3"/>
    </row>
    <row r="358" spans="6:6" ht="16.5" customHeight="1">
      <c r="F358" s="3"/>
    </row>
    <row r="359" spans="6:6" ht="16.5" customHeight="1">
      <c r="F359" s="3"/>
    </row>
    <row r="360" spans="6:6" ht="16.5" customHeight="1">
      <c r="F360" s="3"/>
    </row>
    <row r="361" spans="6:6" ht="16.5" customHeight="1">
      <c r="F361" s="3"/>
    </row>
    <row r="362" spans="6:6" ht="16.5" customHeight="1">
      <c r="F362" s="3"/>
    </row>
    <row r="363" spans="6:6" ht="16.5" customHeight="1">
      <c r="F363" s="3"/>
    </row>
    <row r="364" spans="6:6" ht="16.5" customHeight="1">
      <c r="F364" s="3"/>
    </row>
    <row r="365" spans="6:6" ht="16.5" customHeight="1">
      <c r="F365" s="3"/>
    </row>
    <row r="366" spans="6:6" ht="16.5" customHeight="1">
      <c r="F366" s="3"/>
    </row>
    <row r="367" spans="6:6" ht="16.5" customHeight="1">
      <c r="F367" s="3"/>
    </row>
    <row r="368" spans="6:6" ht="16.5" customHeight="1">
      <c r="F368" s="3"/>
    </row>
    <row r="369" spans="6:6" ht="16.5" customHeight="1">
      <c r="F369" s="3"/>
    </row>
    <row r="370" spans="6:6" ht="16.5" customHeight="1">
      <c r="F370" s="3"/>
    </row>
    <row r="371" spans="6:6" ht="16.5" customHeight="1">
      <c r="F371" s="3"/>
    </row>
    <row r="372" spans="6:6" ht="16.5" customHeight="1">
      <c r="F372" s="3"/>
    </row>
    <row r="373" spans="6:6" ht="16.5" customHeight="1">
      <c r="F373" s="3"/>
    </row>
    <row r="374" spans="6:6" ht="16.5" customHeight="1">
      <c r="F374" s="3"/>
    </row>
    <row r="375" spans="6:6" ht="16.5" customHeight="1">
      <c r="F375" s="3"/>
    </row>
    <row r="376" spans="6:6" ht="16.5" customHeight="1">
      <c r="F376" s="3"/>
    </row>
    <row r="377" spans="6:6" ht="16.5" customHeight="1">
      <c r="F377" s="3"/>
    </row>
    <row r="378" spans="6:6" ht="16.5" customHeight="1">
      <c r="F378" s="3"/>
    </row>
    <row r="379" spans="6:6" ht="16.5" customHeight="1">
      <c r="F379" s="3"/>
    </row>
    <row r="380" spans="6:6" ht="16.5" customHeight="1">
      <c r="F380" s="3"/>
    </row>
    <row r="381" spans="6:6" ht="16.5" customHeight="1">
      <c r="F381" s="3"/>
    </row>
    <row r="382" spans="6:6" ht="16.5" customHeight="1">
      <c r="F382" s="3"/>
    </row>
    <row r="383" spans="6:6" ht="16.5" customHeight="1">
      <c r="F383" s="3"/>
    </row>
    <row r="384" spans="6:6" ht="16.5" customHeight="1">
      <c r="F384" s="3"/>
    </row>
    <row r="385" spans="6:6" ht="16.5" customHeight="1">
      <c r="F385" s="3"/>
    </row>
    <row r="386" spans="6:6" ht="16.5" customHeight="1">
      <c r="F386" s="3"/>
    </row>
    <row r="387" spans="6:6" ht="16.5" customHeight="1">
      <c r="F387" s="3"/>
    </row>
    <row r="388" spans="6:6" ht="16.5" customHeight="1">
      <c r="F388" s="3"/>
    </row>
    <row r="389" spans="6:6" ht="16.5" customHeight="1">
      <c r="F389" s="3"/>
    </row>
    <row r="390" spans="6:6" ht="16.5" customHeight="1">
      <c r="F390" s="3"/>
    </row>
    <row r="391" spans="6:6" ht="16.5" customHeight="1">
      <c r="F391" s="3"/>
    </row>
    <row r="392" spans="6:6" ht="16.5" customHeight="1">
      <c r="F392" s="3"/>
    </row>
    <row r="393" spans="6:6" ht="16.5" customHeight="1">
      <c r="F393" s="3"/>
    </row>
    <row r="394" spans="6:6" ht="16.5" customHeight="1">
      <c r="F394" s="3"/>
    </row>
    <row r="395" spans="6:6" ht="16.5" customHeight="1">
      <c r="F395" s="3"/>
    </row>
    <row r="396" spans="6:6" ht="16.5" customHeight="1">
      <c r="F396" s="3"/>
    </row>
    <row r="397" spans="6:6" ht="16.5" customHeight="1">
      <c r="F397" s="3"/>
    </row>
    <row r="398" spans="6:6" ht="16.5" customHeight="1">
      <c r="F398" s="3"/>
    </row>
    <row r="399" spans="6:6" ht="16.5" customHeight="1">
      <c r="F399" s="3"/>
    </row>
    <row r="400" spans="6:6" ht="16.5" customHeight="1">
      <c r="F400" s="3"/>
    </row>
    <row r="401" spans="6:6" ht="16.5" customHeight="1">
      <c r="F401" s="3"/>
    </row>
    <row r="402" spans="6:6" ht="16.5" customHeight="1">
      <c r="F402" s="3"/>
    </row>
    <row r="403" spans="6:6" ht="16.5" customHeight="1">
      <c r="F403" s="3"/>
    </row>
    <row r="404" spans="6:6" ht="16.5" customHeight="1">
      <c r="F404" s="3"/>
    </row>
    <row r="405" spans="6:6" ht="16.5" customHeight="1">
      <c r="F405" s="3"/>
    </row>
    <row r="406" spans="6:6" ht="16.5" customHeight="1">
      <c r="F406" s="3"/>
    </row>
    <row r="407" spans="6:6" ht="16.5" customHeight="1">
      <c r="F407" s="3"/>
    </row>
    <row r="408" spans="6:6" ht="16.5" customHeight="1">
      <c r="F408" s="3"/>
    </row>
    <row r="409" spans="6:6" ht="16.5" customHeight="1">
      <c r="F409" s="3"/>
    </row>
    <row r="410" spans="6:6" ht="16.5" customHeight="1">
      <c r="F410" s="3"/>
    </row>
    <row r="411" spans="6:6" ht="16.5" customHeight="1">
      <c r="F411" s="3"/>
    </row>
    <row r="412" spans="6:6" ht="16.5" customHeight="1">
      <c r="F412" s="3"/>
    </row>
    <row r="413" spans="6:6" ht="16.5" customHeight="1">
      <c r="F413" s="3"/>
    </row>
    <row r="414" spans="6:6" ht="16.5" customHeight="1">
      <c r="F414" s="3"/>
    </row>
    <row r="415" spans="6:6" ht="16.5" customHeight="1">
      <c r="F415" s="3"/>
    </row>
    <row r="416" spans="6:6" ht="16.5" customHeight="1">
      <c r="F416" s="3"/>
    </row>
    <row r="417" spans="6:6" ht="16.5" customHeight="1">
      <c r="F417" s="3"/>
    </row>
    <row r="418" spans="6:6" ht="16.5" customHeight="1">
      <c r="F418" s="3"/>
    </row>
    <row r="419" spans="6:6" ht="16.5" customHeight="1">
      <c r="F419" s="3"/>
    </row>
    <row r="420" spans="6:6" ht="16.5" customHeight="1">
      <c r="F420" s="3"/>
    </row>
    <row r="421" spans="6:6" ht="16.5" customHeight="1">
      <c r="F421" s="3"/>
    </row>
    <row r="422" spans="6:6" ht="16.5" customHeight="1">
      <c r="F422" s="3"/>
    </row>
    <row r="423" spans="6:6" ht="16.5" customHeight="1">
      <c r="F423" s="3"/>
    </row>
    <row r="424" spans="6:6" ht="16.5" customHeight="1">
      <c r="F424" s="3"/>
    </row>
    <row r="425" spans="6:6" ht="16.5" customHeight="1">
      <c r="F425" s="3"/>
    </row>
    <row r="426" spans="6:6" ht="16.5" customHeight="1">
      <c r="F426" s="3"/>
    </row>
    <row r="427" spans="6:6" ht="16.5" customHeight="1">
      <c r="F427" s="3"/>
    </row>
    <row r="428" spans="6:6" ht="16.5" customHeight="1">
      <c r="F428" s="3"/>
    </row>
    <row r="429" spans="6:6" ht="16.5" customHeight="1">
      <c r="F429" s="3"/>
    </row>
    <row r="430" spans="6:6" ht="16.5" customHeight="1">
      <c r="F430" s="3"/>
    </row>
    <row r="431" spans="6:6" ht="16.5" customHeight="1">
      <c r="F431" s="3"/>
    </row>
    <row r="432" spans="6:6" ht="16.5" customHeight="1">
      <c r="F432" s="3"/>
    </row>
    <row r="433" spans="6:6" ht="16.5" customHeight="1">
      <c r="F433" s="3"/>
    </row>
    <row r="434" spans="6:6" ht="16.5" customHeight="1">
      <c r="F434" s="3"/>
    </row>
    <row r="435" spans="6:6" ht="16.5" customHeight="1">
      <c r="F435" s="3"/>
    </row>
    <row r="436" spans="6:6" ht="16.5" customHeight="1">
      <c r="F436" s="3"/>
    </row>
    <row r="437" spans="6:6" ht="16.5" customHeight="1">
      <c r="F437" s="3"/>
    </row>
    <row r="438" spans="6:6" ht="16.5" customHeight="1">
      <c r="F438" s="3"/>
    </row>
    <row r="439" spans="6:6" ht="16.5" customHeight="1">
      <c r="F439" s="3"/>
    </row>
    <row r="440" spans="6:6" ht="16.5" customHeight="1">
      <c r="F440" s="3"/>
    </row>
    <row r="441" spans="6:6" ht="16.5" customHeight="1">
      <c r="F441" s="3"/>
    </row>
    <row r="442" spans="6:6" ht="16.5" customHeight="1">
      <c r="F442" s="3"/>
    </row>
    <row r="443" spans="6:6" ht="16.5" customHeight="1">
      <c r="F443" s="3"/>
    </row>
    <row r="444" spans="6:6" ht="16.5" customHeight="1">
      <c r="F444" s="3"/>
    </row>
    <row r="445" spans="6:6" ht="16.5" customHeight="1">
      <c r="F445" s="3"/>
    </row>
    <row r="446" spans="6:6" ht="16.5" customHeight="1">
      <c r="F446" s="3"/>
    </row>
    <row r="447" spans="6:6" ht="16.5" customHeight="1">
      <c r="F447" s="3"/>
    </row>
    <row r="448" spans="6:6" ht="16.5" customHeight="1">
      <c r="F448" s="3"/>
    </row>
    <row r="449" spans="6:6" ht="16.5" customHeight="1">
      <c r="F449" s="3"/>
    </row>
    <row r="450" spans="6:6" ht="16.5" customHeight="1">
      <c r="F450" s="3"/>
    </row>
    <row r="451" spans="6:6" ht="16.5" customHeight="1">
      <c r="F451" s="3"/>
    </row>
    <row r="452" spans="6:6" ht="16.5" customHeight="1">
      <c r="F452" s="3"/>
    </row>
    <row r="453" spans="6:6" ht="16.5" customHeight="1">
      <c r="F453" s="3"/>
    </row>
    <row r="454" spans="6:6" ht="16.5" customHeight="1">
      <c r="F454" s="3"/>
    </row>
    <row r="455" spans="6:6" ht="16.5" customHeight="1">
      <c r="F455" s="3"/>
    </row>
    <row r="456" spans="6:6" ht="16.5" customHeight="1">
      <c r="F456" s="3"/>
    </row>
    <row r="457" spans="6:6" ht="16.5" customHeight="1">
      <c r="F457" s="3"/>
    </row>
    <row r="458" spans="6:6" ht="16.5" customHeight="1">
      <c r="F458" s="3"/>
    </row>
    <row r="459" spans="6:6" ht="16.5" customHeight="1">
      <c r="F459" s="3"/>
    </row>
    <row r="460" spans="6:6" ht="16.5" customHeight="1">
      <c r="F460" s="3"/>
    </row>
    <row r="461" spans="6:6" ht="16.5" customHeight="1">
      <c r="F461" s="3"/>
    </row>
    <row r="462" spans="6:6" ht="16.5" customHeight="1">
      <c r="F462" s="3"/>
    </row>
    <row r="463" spans="6:6" ht="16.5" customHeight="1">
      <c r="F463" s="3"/>
    </row>
    <row r="464" spans="6:6" ht="16.5" customHeight="1">
      <c r="F464" s="3"/>
    </row>
    <row r="465" spans="6:6" ht="16.5" customHeight="1">
      <c r="F465" s="3"/>
    </row>
    <row r="466" spans="6:6" ht="16.5" customHeight="1">
      <c r="F466" s="3"/>
    </row>
    <row r="467" spans="6:6" ht="16.5" customHeight="1">
      <c r="F467" s="3"/>
    </row>
    <row r="468" spans="6:6" ht="16.5" customHeight="1">
      <c r="F468" s="3"/>
    </row>
    <row r="469" spans="6:6" ht="16.5" customHeight="1">
      <c r="F469" s="3"/>
    </row>
    <row r="470" spans="6:6" ht="16.5" customHeight="1">
      <c r="F470" s="3"/>
    </row>
    <row r="471" spans="6:6" ht="16.5" customHeight="1">
      <c r="F471" s="3"/>
    </row>
    <row r="472" spans="6:6" ht="16.5" customHeight="1">
      <c r="F472" s="3"/>
    </row>
    <row r="473" spans="6:6" ht="16.5" customHeight="1">
      <c r="F473" s="3"/>
    </row>
    <row r="474" spans="6:6" ht="16.5" customHeight="1">
      <c r="F474" s="3"/>
    </row>
    <row r="475" spans="6:6" ht="16.5" customHeight="1">
      <c r="F475" s="3"/>
    </row>
    <row r="476" spans="6:6" ht="16.5" customHeight="1">
      <c r="F476" s="3"/>
    </row>
    <row r="477" spans="6:6" ht="16.5" customHeight="1">
      <c r="F477" s="3"/>
    </row>
    <row r="478" spans="6:6" ht="16.5" customHeight="1">
      <c r="F478" s="3"/>
    </row>
    <row r="479" spans="6:6" ht="16.5" customHeight="1">
      <c r="F479" s="3"/>
    </row>
    <row r="480" spans="6:6" ht="16.5" customHeight="1">
      <c r="F480" s="3"/>
    </row>
    <row r="481" spans="6:6" ht="16.5" customHeight="1">
      <c r="F481" s="3"/>
    </row>
    <row r="482" spans="6:6" ht="16.5" customHeight="1">
      <c r="F482" s="3"/>
    </row>
    <row r="483" spans="6:6" ht="16.5" customHeight="1">
      <c r="F483" s="3"/>
    </row>
    <row r="484" spans="6:6" ht="16.5" customHeight="1">
      <c r="F484" s="3"/>
    </row>
    <row r="485" spans="6:6" ht="16.5" customHeight="1">
      <c r="F485" s="3"/>
    </row>
    <row r="486" spans="6:6" ht="16.5" customHeight="1">
      <c r="F486" s="3"/>
    </row>
    <row r="487" spans="6:6" ht="16.5" customHeight="1">
      <c r="F487" s="3"/>
    </row>
    <row r="488" spans="6:6" ht="16.5" customHeight="1">
      <c r="F488" s="3"/>
    </row>
    <row r="489" spans="6:6" ht="16.5" customHeight="1">
      <c r="F489" s="3"/>
    </row>
    <row r="490" spans="6:6" ht="16.5" customHeight="1">
      <c r="F490" s="3"/>
    </row>
    <row r="491" spans="6:6" ht="16.5" customHeight="1">
      <c r="F491" s="3"/>
    </row>
    <row r="492" spans="6:6" ht="16.5" customHeight="1">
      <c r="F492" s="3"/>
    </row>
    <row r="493" spans="6:6" ht="16.5" customHeight="1">
      <c r="F493" s="3"/>
    </row>
    <row r="494" spans="6:6" ht="16.5" customHeight="1">
      <c r="F494" s="3"/>
    </row>
    <row r="495" spans="6:6" ht="16.5" customHeight="1">
      <c r="F495" s="3"/>
    </row>
    <row r="496" spans="6:6" ht="16.5" customHeight="1">
      <c r="F496" s="3"/>
    </row>
    <row r="497" spans="6:6" ht="16.5" customHeight="1">
      <c r="F497" s="3"/>
    </row>
    <row r="498" spans="6:6" ht="16.5" customHeight="1">
      <c r="F498" s="3"/>
    </row>
    <row r="499" spans="6:6" ht="16.5" customHeight="1">
      <c r="F499" s="3"/>
    </row>
    <row r="500" spans="6:6" ht="16.5" customHeight="1">
      <c r="F500" s="3"/>
    </row>
    <row r="501" spans="6:6" ht="16.5" customHeight="1">
      <c r="F501" s="3"/>
    </row>
    <row r="502" spans="6:6" ht="16.5" customHeight="1">
      <c r="F502" s="3"/>
    </row>
    <row r="503" spans="6:6" ht="16.5" customHeight="1">
      <c r="F503" s="3"/>
    </row>
    <row r="504" spans="6:6" ht="16.5" customHeight="1">
      <c r="F504" s="3"/>
    </row>
    <row r="505" spans="6:6" ht="16.5" customHeight="1">
      <c r="F505" s="3"/>
    </row>
    <row r="506" spans="6:6" ht="16.5" customHeight="1">
      <c r="F506" s="3"/>
    </row>
    <row r="507" spans="6:6" ht="16.5" customHeight="1">
      <c r="F507" s="3"/>
    </row>
    <row r="508" spans="6:6" ht="16.5" customHeight="1">
      <c r="F508" s="3"/>
    </row>
    <row r="509" spans="6:6" ht="16.5" customHeight="1">
      <c r="F509" s="3"/>
    </row>
    <row r="510" spans="6:6" ht="16.5" customHeight="1">
      <c r="F510" s="3"/>
    </row>
    <row r="511" spans="6:6" ht="16.5" customHeight="1">
      <c r="F511" s="3"/>
    </row>
    <row r="512" spans="6:6" ht="16.5" customHeight="1">
      <c r="F512" s="3"/>
    </row>
    <row r="513" spans="6:6" ht="16.5" customHeight="1">
      <c r="F513" s="3"/>
    </row>
    <row r="514" spans="6:6" ht="16.5" customHeight="1">
      <c r="F514" s="3"/>
    </row>
    <row r="515" spans="6:6" ht="16.5" customHeight="1">
      <c r="F515" s="3"/>
    </row>
    <row r="516" spans="6:6" ht="16.5" customHeight="1">
      <c r="F516" s="3"/>
    </row>
    <row r="517" spans="6:6" ht="16.5" customHeight="1">
      <c r="F517" s="3"/>
    </row>
    <row r="518" spans="6:6" ht="16.5" customHeight="1">
      <c r="F518" s="3"/>
    </row>
    <row r="519" spans="6:6" ht="16.5" customHeight="1">
      <c r="F519" s="3"/>
    </row>
    <row r="520" spans="6:6" ht="16.5" customHeight="1">
      <c r="F520" s="3"/>
    </row>
    <row r="521" spans="6:6" ht="16.5" customHeight="1">
      <c r="F521" s="3"/>
    </row>
    <row r="522" spans="6:6" ht="16.5" customHeight="1">
      <c r="F522" s="3"/>
    </row>
    <row r="523" spans="6:6" ht="16.5" customHeight="1">
      <c r="F523" s="3"/>
    </row>
    <row r="524" spans="6:6" ht="16.5" customHeight="1">
      <c r="F524" s="3"/>
    </row>
    <row r="525" spans="6:6" ht="16.5" customHeight="1">
      <c r="F525" s="3"/>
    </row>
    <row r="526" spans="6:6" ht="16.5" customHeight="1">
      <c r="F526" s="3"/>
    </row>
    <row r="527" spans="6:6" ht="16.5" customHeight="1">
      <c r="F527" s="3"/>
    </row>
    <row r="528" spans="6:6" ht="16.5" customHeight="1">
      <c r="F528" s="3"/>
    </row>
    <row r="529" spans="6:6" ht="16.5" customHeight="1">
      <c r="F529" s="3"/>
    </row>
    <row r="530" spans="6:6" ht="16.5" customHeight="1">
      <c r="F530" s="3"/>
    </row>
    <row r="531" spans="6:6" ht="16.5" customHeight="1">
      <c r="F531" s="3"/>
    </row>
    <row r="532" spans="6:6" ht="16.5" customHeight="1">
      <c r="F532" s="3"/>
    </row>
    <row r="533" spans="6:6" ht="16.5" customHeight="1">
      <c r="F533" s="3"/>
    </row>
    <row r="534" spans="6:6" ht="16.5" customHeight="1">
      <c r="F534" s="3"/>
    </row>
    <row r="535" spans="6:6" ht="16.5" customHeight="1">
      <c r="F535" s="3"/>
    </row>
    <row r="536" spans="6:6" ht="16.5" customHeight="1">
      <c r="F536" s="3"/>
    </row>
    <row r="537" spans="6:6" ht="16.5" customHeight="1">
      <c r="F537" s="3"/>
    </row>
    <row r="538" spans="6:6" ht="16.5" customHeight="1">
      <c r="F538" s="3"/>
    </row>
    <row r="539" spans="6:6" ht="16.5" customHeight="1">
      <c r="F539" s="3"/>
    </row>
    <row r="540" spans="6:6" ht="16.5" customHeight="1">
      <c r="F540" s="3"/>
    </row>
    <row r="541" spans="6:6" ht="16.5" customHeight="1">
      <c r="F541" s="3"/>
    </row>
    <row r="542" spans="6:6" ht="16.5" customHeight="1">
      <c r="F542" s="3"/>
    </row>
    <row r="543" spans="6:6" ht="16.5" customHeight="1">
      <c r="F543" s="3"/>
    </row>
    <row r="544" spans="6:6" ht="16.5" customHeight="1">
      <c r="F544" s="3"/>
    </row>
    <row r="545" spans="6:6" ht="16.5" customHeight="1">
      <c r="F545" s="3"/>
    </row>
    <row r="546" spans="6:6" ht="16.5" customHeight="1">
      <c r="F546" s="3"/>
    </row>
    <row r="547" spans="6:6" ht="16.5" customHeight="1">
      <c r="F547" s="3"/>
    </row>
    <row r="548" spans="6:6" ht="16.5" customHeight="1">
      <c r="F548" s="3"/>
    </row>
    <row r="549" spans="6:6" ht="16.5" customHeight="1">
      <c r="F549" s="3"/>
    </row>
    <row r="550" spans="6:6" ht="16.5" customHeight="1">
      <c r="F550" s="3"/>
    </row>
    <row r="551" spans="6:6" ht="16.5" customHeight="1">
      <c r="F551" s="3"/>
    </row>
    <row r="552" spans="6:6" ht="16.5" customHeight="1">
      <c r="F552" s="3"/>
    </row>
    <row r="553" spans="6:6" ht="16.5" customHeight="1">
      <c r="F553" s="3"/>
    </row>
    <row r="554" spans="6:6" ht="16.5" customHeight="1">
      <c r="F554" s="3"/>
    </row>
    <row r="555" spans="6:6" ht="16.5" customHeight="1">
      <c r="F555" s="3"/>
    </row>
    <row r="556" spans="6:6" ht="16.5" customHeight="1">
      <c r="F556" s="3"/>
    </row>
    <row r="557" spans="6:6" ht="16.5" customHeight="1">
      <c r="F557" s="3"/>
    </row>
    <row r="558" spans="6:6" ht="16.5" customHeight="1">
      <c r="F558" s="3"/>
    </row>
    <row r="559" spans="6:6" ht="16.5" customHeight="1">
      <c r="F559" s="3"/>
    </row>
    <row r="560" spans="6:6" ht="16.5" customHeight="1">
      <c r="F560" s="3"/>
    </row>
    <row r="561" spans="6:6" ht="16.5" customHeight="1">
      <c r="F561" s="3"/>
    </row>
    <row r="562" spans="6:6" ht="16.5" customHeight="1">
      <c r="F562" s="3"/>
    </row>
    <row r="563" spans="6:6" ht="16.5" customHeight="1">
      <c r="F563" s="3"/>
    </row>
    <row r="564" spans="6:6" ht="16.5" customHeight="1">
      <c r="F564" s="3"/>
    </row>
    <row r="565" spans="6:6" ht="16.5" customHeight="1">
      <c r="F565" s="3"/>
    </row>
    <row r="566" spans="6:6" ht="16.5" customHeight="1">
      <c r="F566" s="3"/>
    </row>
    <row r="567" spans="6:6" ht="16.5" customHeight="1">
      <c r="F567" s="3"/>
    </row>
    <row r="568" spans="6:6" ht="16.5" customHeight="1">
      <c r="F568" s="3"/>
    </row>
    <row r="569" spans="6:6" ht="16.5" customHeight="1">
      <c r="F569" s="3"/>
    </row>
    <row r="570" spans="6:6" ht="16.5" customHeight="1">
      <c r="F570" s="3"/>
    </row>
    <row r="571" spans="6:6" ht="16.5" customHeight="1">
      <c r="F571" s="3"/>
    </row>
    <row r="572" spans="6:6" ht="16.5" customHeight="1">
      <c r="F572" s="3"/>
    </row>
    <row r="573" spans="6:6" ht="16.5" customHeight="1">
      <c r="F573" s="3"/>
    </row>
    <row r="574" spans="6:6" ht="16.5" customHeight="1">
      <c r="F574" s="3"/>
    </row>
    <row r="575" spans="6:6" ht="16.5" customHeight="1">
      <c r="F575" s="3"/>
    </row>
    <row r="576" spans="6:6" ht="16.5" customHeight="1">
      <c r="F576" s="3"/>
    </row>
    <row r="577" spans="6:6" ht="16.5" customHeight="1">
      <c r="F577" s="3"/>
    </row>
    <row r="578" spans="6:6" ht="16.5" customHeight="1">
      <c r="F578" s="3"/>
    </row>
    <row r="579" spans="6:6" ht="16.5" customHeight="1">
      <c r="F579" s="3"/>
    </row>
    <row r="580" spans="6:6" ht="16.5" customHeight="1">
      <c r="F580" s="3"/>
    </row>
    <row r="581" spans="6:6" ht="16.5" customHeight="1">
      <c r="F581" s="3"/>
    </row>
    <row r="582" spans="6:6" ht="16.5" customHeight="1">
      <c r="F582" s="3"/>
    </row>
    <row r="583" spans="6:6" ht="16.5" customHeight="1">
      <c r="F583" s="3"/>
    </row>
    <row r="584" spans="6:6" ht="16.5" customHeight="1">
      <c r="F584" s="3"/>
    </row>
    <row r="585" spans="6:6" ht="16.5" customHeight="1">
      <c r="F585" s="3"/>
    </row>
    <row r="586" spans="6:6" ht="16.5" customHeight="1">
      <c r="F586" s="3"/>
    </row>
    <row r="587" spans="6:6" ht="16.5" customHeight="1">
      <c r="F587" s="3"/>
    </row>
    <row r="588" spans="6:6" ht="16.5" customHeight="1">
      <c r="F588" s="3"/>
    </row>
    <row r="589" spans="6:6" ht="16.5" customHeight="1">
      <c r="F589" s="3"/>
    </row>
    <row r="590" spans="6:6" ht="16.5" customHeight="1">
      <c r="F590" s="3"/>
    </row>
    <row r="591" spans="6:6" ht="16.5" customHeight="1">
      <c r="F591" s="3"/>
    </row>
    <row r="592" spans="6:6" ht="16.5" customHeight="1">
      <c r="F592" s="3"/>
    </row>
    <row r="593" spans="6:6" ht="16.5" customHeight="1">
      <c r="F593" s="3"/>
    </row>
    <row r="594" spans="6:6" ht="16.5" customHeight="1">
      <c r="F594" s="3"/>
    </row>
    <row r="595" spans="6:6" ht="16.5" customHeight="1">
      <c r="F595" s="3"/>
    </row>
    <row r="596" spans="6:6" ht="16.5" customHeight="1">
      <c r="F596" s="3"/>
    </row>
    <row r="597" spans="6:6" ht="16.5" customHeight="1">
      <c r="F597" s="3"/>
    </row>
    <row r="598" spans="6:6" ht="16.5" customHeight="1">
      <c r="F598" s="3"/>
    </row>
    <row r="599" spans="6:6" ht="16.5" customHeight="1">
      <c r="F599" s="3"/>
    </row>
    <row r="600" spans="6:6" ht="16.5" customHeight="1">
      <c r="F600" s="3"/>
    </row>
    <row r="601" spans="6:6" ht="16.5" customHeight="1">
      <c r="F601" s="3"/>
    </row>
    <row r="602" spans="6:6" ht="16.5" customHeight="1">
      <c r="F602" s="3"/>
    </row>
    <row r="603" spans="6:6" ht="16.5" customHeight="1">
      <c r="F603" s="3"/>
    </row>
    <row r="604" spans="6:6" ht="16.5" customHeight="1">
      <c r="F604" s="3"/>
    </row>
    <row r="605" spans="6:6" ht="16.5" customHeight="1">
      <c r="F605" s="3"/>
    </row>
    <row r="606" spans="6:6" ht="16.5" customHeight="1">
      <c r="F606" s="3"/>
    </row>
    <row r="607" spans="6:6" ht="16.5" customHeight="1">
      <c r="F607" s="3"/>
    </row>
    <row r="608" spans="6:6" ht="16.5" customHeight="1">
      <c r="F608" s="3"/>
    </row>
    <row r="609" spans="6:6" ht="16.5" customHeight="1">
      <c r="F609" s="3"/>
    </row>
    <row r="610" spans="6:6" ht="16.5" customHeight="1">
      <c r="F610" s="3"/>
    </row>
    <row r="611" spans="6:6" ht="16.5" customHeight="1">
      <c r="F611" s="3"/>
    </row>
    <row r="612" spans="6:6" ht="16.5" customHeight="1">
      <c r="F612" s="3"/>
    </row>
    <row r="613" spans="6:6" ht="16.5" customHeight="1">
      <c r="F613" s="3"/>
    </row>
    <row r="614" spans="6:6" ht="16.5" customHeight="1">
      <c r="F614" s="3"/>
    </row>
    <row r="615" spans="6:6" ht="16.5" customHeight="1">
      <c r="F615" s="3"/>
    </row>
    <row r="616" spans="6:6" ht="16.5" customHeight="1">
      <c r="F616" s="3"/>
    </row>
    <row r="617" spans="6:6" ht="16.5" customHeight="1">
      <c r="F617" s="3"/>
    </row>
    <row r="618" spans="6:6" ht="16.5" customHeight="1">
      <c r="F618" s="3"/>
    </row>
    <row r="619" spans="6:6" ht="16.5" customHeight="1">
      <c r="F619" s="3"/>
    </row>
    <row r="620" spans="6:6" ht="16.5" customHeight="1">
      <c r="F620" s="3"/>
    </row>
    <row r="621" spans="6:6" ht="16.5" customHeight="1">
      <c r="F621" s="3"/>
    </row>
    <row r="622" spans="6:6" ht="16.5" customHeight="1">
      <c r="F622" s="3"/>
    </row>
    <row r="623" spans="6:6" ht="16.5" customHeight="1">
      <c r="F623" s="3"/>
    </row>
    <row r="624" spans="6:6" ht="16.5" customHeight="1">
      <c r="F624" s="3"/>
    </row>
    <row r="625" spans="6:6" ht="16.5" customHeight="1">
      <c r="F625" s="3"/>
    </row>
    <row r="626" spans="6:6" ht="16.5" customHeight="1">
      <c r="F626" s="3"/>
    </row>
    <row r="627" spans="6:6" ht="16.5" customHeight="1">
      <c r="F627" s="3"/>
    </row>
    <row r="628" spans="6:6" ht="16.5" customHeight="1">
      <c r="F628" s="3"/>
    </row>
    <row r="629" spans="6:6" ht="16.5" customHeight="1">
      <c r="F629" s="3"/>
    </row>
    <row r="630" spans="6:6" ht="16.5" customHeight="1">
      <c r="F630" s="3"/>
    </row>
    <row r="631" spans="6:6" ht="16.5" customHeight="1">
      <c r="F631" s="3"/>
    </row>
    <row r="632" spans="6:6" ht="16.5" customHeight="1">
      <c r="F632" s="3"/>
    </row>
    <row r="633" spans="6:6" ht="16.5" customHeight="1">
      <c r="F633" s="3"/>
    </row>
    <row r="634" spans="6:6" ht="16.5" customHeight="1">
      <c r="F634" s="3"/>
    </row>
    <row r="635" spans="6:6" ht="16.5" customHeight="1">
      <c r="F635" s="3"/>
    </row>
    <row r="636" spans="6:6" ht="16.5" customHeight="1">
      <c r="F636" s="3"/>
    </row>
    <row r="637" spans="6:6" ht="16.5" customHeight="1">
      <c r="F637" s="3"/>
    </row>
    <row r="638" spans="6:6" ht="16.5" customHeight="1">
      <c r="F638" s="3"/>
    </row>
    <row r="639" spans="6:6" ht="16.5" customHeight="1">
      <c r="F639" s="3"/>
    </row>
    <row r="640" spans="6:6" ht="16.5" customHeight="1">
      <c r="F640" s="3"/>
    </row>
    <row r="641" spans="6:6" ht="16.5" customHeight="1">
      <c r="F641" s="3"/>
    </row>
    <row r="642" spans="6:6" ht="16.5" customHeight="1">
      <c r="F642" s="3"/>
    </row>
    <row r="643" spans="6:6" ht="16.5" customHeight="1">
      <c r="F643" s="3"/>
    </row>
    <row r="644" spans="6:6" ht="16.5" customHeight="1">
      <c r="F644" s="3"/>
    </row>
    <row r="645" spans="6:6" ht="16.5" customHeight="1">
      <c r="F645" s="3"/>
    </row>
    <row r="646" spans="6:6" ht="16.5" customHeight="1">
      <c r="F646" s="3"/>
    </row>
    <row r="647" spans="6:6" ht="16.5" customHeight="1">
      <c r="F647" s="3"/>
    </row>
    <row r="648" spans="6:6" ht="16.5" customHeight="1">
      <c r="F648" s="3"/>
    </row>
    <row r="649" spans="6:6" ht="16.5" customHeight="1">
      <c r="F649" s="3"/>
    </row>
    <row r="650" spans="6:6" ht="16.5" customHeight="1">
      <c r="F650" s="3"/>
    </row>
    <row r="651" spans="6:6" ht="16.5" customHeight="1">
      <c r="F651" s="3"/>
    </row>
    <row r="652" spans="6:6" ht="16.5" customHeight="1">
      <c r="F652" s="3"/>
    </row>
    <row r="653" spans="6:6" ht="16.5" customHeight="1">
      <c r="F653" s="3"/>
    </row>
    <row r="654" spans="6:6" ht="16.5" customHeight="1">
      <c r="F654" s="3"/>
    </row>
    <row r="655" spans="6:6" ht="16.5" customHeight="1">
      <c r="F655" s="3"/>
    </row>
    <row r="656" spans="6:6" ht="16.5" customHeight="1">
      <c r="F656" s="3"/>
    </row>
    <row r="657" spans="6:6" ht="16.5" customHeight="1">
      <c r="F657" s="3"/>
    </row>
    <row r="658" spans="6:6" ht="16.5" customHeight="1">
      <c r="F658" s="3"/>
    </row>
    <row r="659" spans="6:6" ht="16.5" customHeight="1">
      <c r="F659" s="3"/>
    </row>
    <row r="660" spans="6:6" ht="16.5" customHeight="1">
      <c r="F660" s="3"/>
    </row>
    <row r="661" spans="6:6" ht="16.5" customHeight="1">
      <c r="F661" s="3"/>
    </row>
    <row r="662" spans="6:6" ht="16.5" customHeight="1">
      <c r="F662" s="3"/>
    </row>
    <row r="663" spans="6:6" ht="16.5" customHeight="1">
      <c r="F663" s="3"/>
    </row>
    <row r="664" spans="6:6" ht="16.5" customHeight="1">
      <c r="F664" s="3"/>
    </row>
    <row r="665" spans="6:6" ht="16.5" customHeight="1">
      <c r="F665" s="3"/>
    </row>
    <row r="666" spans="6:6" ht="16.5" customHeight="1">
      <c r="F666" s="3"/>
    </row>
    <row r="667" spans="6:6" ht="16.5" customHeight="1">
      <c r="F667" s="3"/>
    </row>
    <row r="668" spans="6:6" ht="16.5" customHeight="1">
      <c r="F668" s="3"/>
    </row>
    <row r="669" spans="6:6" ht="16.5" customHeight="1">
      <c r="F669" s="3"/>
    </row>
    <row r="670" spans="6:6" ht="16.5" customHeight="1">
      <c r="F670" s="3"/>
    </row>
    <row r="671" spans="6:6" ht="16.5" customHeight="1">
      <c r="F671" s="3"/>
    </row>
    <row r="672" spans="6:6" ht="16.5" customHeight="1">
      <c r="F672" s="3"/>
    </row>
    <row r="673" spans="6:6" ht="16.5" customHeight="1">
      <c r="F673" s="3"/>
    </row>
    <row r="674" spans="6:6" ht="16.5" customHeight="1">
      <c r="F674" s="3"/>
    </row>
    <row r="675" spans="6:6" ht="16.5" customHeight="1">
      <c r="F675" s="3"/>
    </row>
    <row r="676" spans="6:6" ht="16.5" customHeight="1">
      <c r="F676" s="3"/>
    </row>
    <row r="677" spans="6:6" ht="16.5" customHeight="1">
      <c r="F677" s="3"/>
    </row>
    <row r="678" spans="6:6" ht="16.5" customHeight="1">
      <c r="F678" s="3"/>
    </row>
    <row r="679" spans="6:6" ht="16.5" customHeight="1">
      <c r="F679" s="3"/>
    </row>
    <row r="680" spans="6:6" ht="16.5" customHeight="1">
      <c r="F680" s="3"/>
    </row>
    <row r="681" spans="6:6" ht="16.5" customHeight="1">
      <c r="F681" s="3"/>
    </row>
    <row r="682" spans="6:6" ht="16.5" customHeight="1">
      <c r="F682" s="3"/>
    </row>
    <row r="683" spans="6:6" ht="16.5" customHeight="1">
      <c r="F683" s="3"/>
    </row>
    <row r="684" spans="6:6" ht="16.5" customHeight="1">
      <c r="F684" s="3"/>
    </row>
    <row r="685" spans="6:6" ht="16.5" customHeight="1">
      <c r="F685" s="3"/>
    </row>
    <row r="686" spans="6:6" ht="16.5" customHeight="1">
      <c r="F686" s="3"/>
    </row>
    <row r="687" spans="6:6" ht="16.5" customHeight="1">
      <c r="F687" s="3"/>
    </row>
    <row r="688" spans="6:6" ht="16.5" customHeight="1">
      <c r="F688" s="3"/>
    </row>
    <row r="689" spans="6:6" ht="16.5" customHeight="1">
      <c r="F689" s="3"/>
    </row>
    <row r="690" spans="6:6" ht="16.5" customHeight="1">
      <c r="F690" s="3"/>
    </row>
    <row r="691" spans="6:6" ht="16.5" customHeight="1">
      <c r="F691" s="3"/>
    </row>
    <row r="692" spans="6:6" ht="16.5" customHeight="1">
      <c r="F692" s="3"/>
    </row>
    <row r="693" spans="6:6" ht="16.5" customHeight="1">
      <c r="F693" s="3"/>
    </row>
    <row r="694" spans="6:6" ht="16.5" customHeight="1">
      <c r="F694" s="3"/>
    </row>
    <row r="695" spans="6:6" ht="16.5" customHeight="1">
      <c r="F695" s="3"/>
    </row>
    <row r="696" spans="6:6" ht="16.5" customHeight="1">
      <c r="F696" s="3"/>
    </row>
    <row r="697" spans="6:6" ht="16.5" customHeight="1">
      <c r="F697" s="3"/>
    </row>
    <row r="698" spans="6:6" ht="16.5" customHeight="1">
      <c r="F698" s="3"/>
    </row>
    <row r="699" spans="6:6" ht="16.5" customHeight="1">
      <c r="F699" s="3"/>
    </row>
    <row r="700" spans="6:6" ht="16.5" customHeight="1">
      <c r="F700" s="3"/>
    </row>
    <row r="701" spans="6:6" ht="16.5" customHeight="1">
      <c r="F701" s="3"/>
    </row>
    <row r="702" spans="6:6" ht="16.5" customHeight="1">
      <c r="F702" s="3"/>
    </row>
    <row r="703" spans="6:6" ht="16.5" customHeight="1">
      <c r="F703" s="3"/>
    </row>
    <row r="704" spans="6:6" ht="16.5" customHeight="1">
      <c r="F704" s="3"/>
    </row>
    <row r="705" spans="6:6" ht="16.5" customHeight="1">
      <c r="F705" s="3"/>
    </row>
    <row r="706" spans="6:6" ht="16.5" customHeight="1">
      <c r="F706" s="3"/>
    </row>
    <row r="707" spans="6:6" ht="16.5" customHeight="1">
      <c r="F707" s="3"/>
    </row>
    <row r="708" spans="6:6" ht="16.5" customHeight="1">
      <c r="F708" s="3"/>
    </row>
    <row r="709" spans="6:6" ht="16.5" customHeight="1">
      <c r="F709" s="3"/>
    </row>
    <row r="710" spans="6:6" ht="16.5" customHeight="1">
      <c r="F710" s="3"/>
    </row>
    <row r="711" spans="6:6" ht="16.5" customHeight="1">
      <c r="F711" s="3"/>
    </row>
    <row r="712" spans="6:6" ht="16.5" customHeight="1">
      <c r="F712" s="3"/>
    </row>
    <row r="713" spans="6:6" ht="16.5" customHeight="1">
      <c r="F713" s="3"/>
    </row>
    <row r="714" spans="6:6" ht="16.5" customHeight="1">
      <c r="F714" s="3"/>
    </row>
    <row r="715" spans="6:6" ht="16.5" customHeight="1">
      <c r="F715" s="3"/>
    </row>
    <row r="716" spans="6:6" ht="16.5" customHeight="1">
      <c r="F716" s="3"/>
    </row>
    <row r="717" spans="6:6" ht="16.5" customHeight="1">
      <c r="F717" s="3"/>
    </row>
    <row r="718" spans="6:6" ht="16.5" customHeight="1">
      <c r="F718" s="3"/>
    </row>
    <row r="719" spans="6:6" ht="16.5" customHeight="1">
      <c r="F719" s="3"/>
    </row>
    <row r="720" spans="6:6" ht="16.5" customHeight="1">
      <c r="F720" s="3"/>
    </row>
    <row r="721" spans="6:6" ht="16.5" customHeight="1">
      <c r="F721" s="3"/>
    </row>
    <row r="722" spans="6:6" ht="16.5" customHeight="1">
      <c r="F722" s="3"/>
    </row>
    <row r="723" spans="6:6" ht="16.5" customHeight="1">
      <c r="F723" s="3"/>
    </row>
    <row r="724" spans="6:6" ht="16.5" customHeight="1">
      <c r="F724" s="3"/>
    </row>
    <row r="725" spans="6:6" ht="16.5" customHeight="1">
      <c r="F725" s="3"/>
    </row>
    <row r="726" spans="6:6" ht="16.5" customHeight="1">
      <c r="F726" s="3"/>
    </row>
    <row r="727" spans="6:6" ht="16.5" customHeight="1">
      <c r="F727" s="3"/>
    </row>
    <row r="728" spans="6:6" ht="16.5" customHeight="1">
      <c r="F728" s="3"/>
    </row>
    <row r="729" spans="6:6" ht="16.5" customHeight="1">
      <c r="F729" s="3"/>
    </row>
    <row r="730" spans="6:6" ht="16.5" customHeight="1">
      <c r="F730" s="3"/>
    </row>
    <row r="731" spans="6:6" ht="16.5" customHeight="1">
      <c r="F731" s="3"/>
    </row>
    <row r="732" spans="6:6" ht="16.5" customHeight="1">
      <c r="F732" s="3"/>
    </row>
    <row r="733" spans="6:6" ht="16.5" customHeight="1">
      <c r="F733" s="3"/>
    </row>
    <row r="734" spans="6:6" ht="16.5" customHeight="1">
      <c r="F734" s="3"/>
    </row>
    <row r="735" spans="6:6" ht="16.5" customHeight="1">
      <c r="F735" s="3"/>
    </row>
    <row r="736" spans="6:6" ht="16.5" customHeight="1">
      <c r="F736" s="3"/>
    </row>
    <row r="737" spans="6:6" ht="16.5" customHeight="1">
      <c r="F737" s="3"/>
    </row>
    <row r="738" spans="6:6" ht="16.5" customHeight="1">
      <c r="F738" s="3"/>
    </row>
    <row r="739" spans="6:6" ht="16.5" customHeight="1">
      <c r="F739" s="3"/>
    </row>
    <row r="740" spans="6:6" ht="16.5" customHeight="1">
      <c r="F740" s="3"/>
    </row>
    <row r="741" spans="6:6" ht="16.5" customHeight="1">
      <c r="F741" s="3"/>
    </row>
    <row r="742" spans="6:6" ht="16.5" customHeight="1">
      <c r="F742" s="3"/>
    </row>
    <row r="743" spans="6:6" ht="16.5" customHeight="1">
      <c r="F743" s="3"/>
    </row>
    <row r="744" spans="6:6" ht="16.5" customHeight="1">
      <c r="F744" s="3"/>
    </row>
    <row r="745" spans="6:6" ht="16.5" customHeight="1">
      <c r="F745" s="3"/>
    </row>
    <row r="746" spans="6:6" ht="16.5" customHeight="1">
      <c r="F746" s="3"/>
    </row>
    <row r="747" spans="6:6" ht="16.5" customHeight="1">
      <c r="F747" s="3"/>
    </row>
    <row r="748" spans="6:6" ht="16.5" customHeight="1">
      <c r="F748" s="3"/>
    </row>
    <row r="749" spans="6:6" ht="16.5" customHeight="1">
      <c r="F749" s="3"/>
    </row>
    <row r="750" spans="6:6" ht="16.5" customHeight="1">
      <c r="F750" s="3"/>
    </row>
    <row r="751" spans="6:6" ht="16.5" customHeight="1">
      <c r="F751" s="3"/>
    </row>
    <row r="752" spans="6:6" ht="16.5" customHeight="1">
      <c r="F752" s="3"/>
    </row>
    <row r="753" spans="6:6" ht="16.5" customHeight="1">
      <c r="F753" s="3"/>
    </row>
    <row r="754" spans="6:6" ht="16.5" customHeight="1">
      <c r="F754" s="3"/>
    </row>
    <row r="755" spans="6:6" ht="16.5" customHeight="1">
      <c r="F755" s="3"/>
    </row>
    <row r="756" spans="6:6" ht="16.5" customHeight="1">
      <c r="F756" s="3"/>
    </row>
    <row r="757" spans="6:6" ht="16.5" customHeight="1">
      <c r="F757" s="3"/>
    </row>
    <row r="758" spans="6:6" ht="16.5" customHeight="1">
      <c r="F758" s="3"/>
    </row>
    <row r="759" spans="6:6" ht="16.5" customHeight="1">
      <c r="F759" s="3"/>
    </row>
    <row r="760" spans="6:6" ht="16.5" customHeight="1">
      <c r="F760" s="3"/>
    </row>
    <row r="761" spans="6:6" ht="16.5" customHeight="1">
      <c r="F761" s="3"/>
    </row>
    <row r="762" spans="6:6" ht="16.5" customHeight="1">
      <c r="F762" s="3"/>
    </row>
    <row r="763" spans="6:6" ht="16.5" customHeight="1">
      <c r="F763" s="3"/>
    </row>
    <row r="764" spans="6:6" ht="16.5" customHeight="1">
      <c r="F764" s="3"/>
    </row>
    <row r="765" spans="6:6" ht="16.5" customHeight="1">
      <c r="F765" s="3"/>
    </row>
    <row r="766" spans="6:6" ht="16.5" customHeight="1">
      <c r="F766" s="3"/>
    </row>
    <row r="767" spans="6:6" ht="16.5" customHeight="1">
      <c r="F767" s="3"/>
    </row>
    <row r="768" spans="6:6" ht="16.5" customHeight="1">
      <c r="F768" s="3"/>
    </row>
    <row r="769" spans="6:6" ht="16.5" customHeight="1">
      <c r="F769" s="3"/>
    </row>
    <row r="770" spans="6:6" ht="16.5" customHeight="1">
      <c r="F770" s="3"/>
    </row>
    <row r="771" spans="6:6" ht="16.5" customHeight="1">
      <c r="F771" s="3"/>
    </row>
    <row r="772" spans="6:6" ht="16.5" customHeight="1">
      <c r="F772" s="3"/>
    </row>
    <row r="773" spans="6:6" ht="16.5" customHeight="1">
      <c r="F773" s="3"/>
    </row>
    <row r="774" spans="6:6" ht="16.5" customHeight="1">
      <c r="F774" s="3"/>
    </row>
    <row r="775" spans="6:6" ht="16.5" customHeight="1">
      <c r="F775" s="3"/>
    </row>
    <row r="776" spans="6:6" ht="16.5" customHeight="1">
      <c r="F776" s="3"/>
    </row>
    <row r="777" spans="6:6" ht="16.5" customHeight="1">
      <c r="F777" s="3"/>
    </row>
    <row r="778" spans="6:6" ht="16.5" customHeight="1">
      <c r="F778" s="3"/>
    </row>
    <row r="779" spans="6:6" ht="16.5" customHeight="1">
      <c r="F779" s="3"/>
    </row>
    <row r="780" spans="6:6" ht="16.5" customHeight="1">
      <c r="F780" s="3"/>
    </row>
    <row r="781" spans="6:6" ht="16.5" customHeight="1">
      <c r="F781" s="3"/>
    </row>
    <row r="782" spans="6:6" ht="16.5" customHeight="1">
      <c r="F782" s="3"/>
    </row>
    <row r="783" spans="6:6" ht="16.5" customHeight="1">
      <c r="F783" s="3"/>
    </row>
    <row r="784" spans="6:6" ht="16.5" customHeight="1">
      <c r="F784" s="3"/>
    </row>
    <row r="785" spans="6:6" ht="16.5" customHeight="1">
      <c r="F785" s="3"/>
    </row>
    <row r="786" spans="6:6" ht="16.5" customHeight="1">
      <c r="F786" s="3"/>
    </row>
    <row r="787" spans="6:6" ht="16.5" customHeight="1">
      <c r="F787" s="3"/>
    </row>
    <row r="788" spans="6:6" ht="16.5" customHeight="1">
      <c r="F788" s="3"/>
    </row>
    <row r="789" spans="6:6" ht="16.5" customHeight="1">
      <c r="F789" s="3"/>
    </row>
    <row r="790" spans="6:6" ht="16.5" customHeight="1">
      <c r="F790" s="3"/>
    </row>
    <row r="791" spans="6:6" ht="16.5" customHeight="1">
      <c r="F791" s="3"/>
    </row>
    <row r="792" spans="6:6" ht="16.5" customHeight="1">
      <c r="F792" s="3"/>
    </row>
    <row r="793" spans="6:6" ht="16.5" customHeight="1">
      <c r="F793" s="3"/>
    </row>
    <row r="794" spans="6:6" ht="16.5" customHeight="1">
      <c r="F794" s="3"/>
    </row>
    <row r="795" spans="6:6" ht="16.5" customHeight="1">
      <c r="F795" s="3"/>
    </row>
    <row r="796" spans="6:6" ht="16.5" customHeight="1">
      <c r="F796" s="3"/>
    </row>
    <row r="797" spans="6:6" ht="16.5" customHeight="1">
      <c r="F797" s="3"/>
    </row>
    <row r="798" spans="6:6" ht="16.5" customHeight="1">
      <c r="F798" s="3"/>
    </row>
    <row r="799" spans="6:6" ht="16.5" customHeight="1">
      <c r="F799" s="3"/>
    </row>
    <row r="800" spans="6:6" ht="16.5" customHeight="1">
      <c r="F800" s="3"/>
    </row>
    <row r="801" spans="6:6" ht="16.5" customHeight="1">
      <c r="F801" s="3"/>
    </row>
    <row r="802" spans="6:6" ht="16.5" customHeight="1">
      <c r="F802" s="3"/>
    </row>
    <row r="803" spans="6:6" ht="16.5" customHeight="1">
      <c r="F803" s="3"/>
    </row>
    <row r="804" spans="6:6" ht="16.5" customHeight="1">
      <c r="F804" s="3"/>
    </row>
    <row r="805" spans="6:6" ht="16.5" customHeight="1">
      <c r="F805" s="3"/>
    </row>
    <row r="806" spans="6:6" ht="16.5" customHeight="1">
      <c r="F806" s="3"/>
    </row>
    <row r="807" spans="6:6" ht="16.5" customHeight="1">
      <c r="F807" s="3"/>
    </row>
    <row r="808" spans="6:6" ht="16.5" customHeight="1">
      <c r="F808" s="3"/>
    </row>
    <row r="809" spans="6:6" ht="16.5" customHeight="1">
      <c r="F809" s="3"/>
    </row>
    <row r="810" spans="6:6" ht="16.5" customHeight="1">
      <c r="F810" s="3"/>
    </row>
    <row r="811" spans="6:6" ht="16.5" customHeight="1">
      <c r="F811" s="3"/>
    </row>
    <row r="812" spans="6:6" ht="16.5" customHeight="1">
      <c r="F812" s="3"/>
    </row>
    <row r="813" spans="6:6" ht="16.5" customHeight="1">
      <c r="F813" s="3"/>
    </row>
    <row r="814" spans="6:6" ht="16.5" customHeight="1">
      <c r="F814" s="3"/>
    </row>
    <row r="815" spans="6:6" ht="16.5" customHeight="1">
      <c r="F815" s="3"/>
    </row>
    <row r="816" spans="6:6" ht="16.5" customHeight="1">
      <c r="F816" s="3"/>
    </row>
    <row r="817" spans="6:6" ht="16.5" customHeight="1">
      <c r="F817" s="3"/>
    </row>
    <row r="818" spans="6:6" ht="16.5" customHeight="1">
      <c r="F818" s="3"/>
    </row>
    <row r="819" spans="6:6" ht="16.5" customHeight="1">
      <c r="F819" s="3"/>
    </row>
    <row r="820" spans="6:6" ht="16.5" customHeight="1">
      <c r="F820" s="3"/>
    </row>
    <row r="821" spans="6:6" ht="16.5" customHeight="1">
      <c r="F821" s="3"/>
    </row>
    <row r="822" spans="6:6" ht="16.5" customHeight="1">
      <c r="F822" s="3"/>
    </row>
    <row r="823" spans="6:6" ht="16.5" customHeight="1">
      <c r="F823" s="3"/>
    </row>
    <row r="824" spans="6:6" ht="16.5" customHeight="1">
      <c r="F824" s="3"/>
    </row>
    <row r="825" spans="6:6" ht="16.5" customHeight="1">
      <c r="F825" s="3"/>
    </row>
    <row r="826" spans="6:6" ht="16.5" customHeight="1">
      <c r="F826" s="3"/>
    </row>
    <row r="827" spans="6:6" ht="16.5" customHeight="1">
      <c r="F827" s="3"/>
    </row>
    <row r="828" spans="6:6" ht="16.5" customHeight="1">
      <c r="F828" s="3"/>
    </row>
    <row r="829" spans="6:6" ht="16.5" customHeight="1">
      <c r="F829" s="3"/>
    </row>
    <row r="830" spans="6:6" ht="16.5" customHeight="1">
      <c r="F830" s="3"/>
    </row>
    <row r="831" spans="6:6" ht="16.5" customHeight="1">
      <c r="F831" s="3"/>
    </row>
    <row r="832" spans="6:6" ht="16.5" customHeight="1">
      <c r="F832" s="3"/>
    </row>
    <row r="833" spans="6:6" ht="16.5" customHeight="1">
      <c r="F833" s="3"/>
    </row>
    <row r="834" spans="6:6" ht="16.5" customHeight="1">
      <c r="F834" s="3"/>
    </row>
    <row r="835" spans="6:6" ht="16.5" customHeight="1">
      <c r="F835" s="3"/>
    </row>
    <row r="836" spans="6:6" ht="16.5" customHeight="1">
      <c r="F836" s="3"/>
    </row>
    <row r="837" spans="6:6" ht="16.5" customHeight="1">
      <c r="F837" s="3"/>
    </row>
    <row r="838" spans="6:6" ht="16.5" customHeight="1">
      <c r="F838" s="3"/>
    </row>
    <row r="839" spans="6:6" ht="16.5" customHeight="1">
      <c r="F839" s="3"/>
    </row>
    <row r="840" spans="6:6" ht="16.5" customHeight="1">
      <c r="F840" s="3"/>
    </row>
    <row r="841" spans="6:6" ht="16.5" customHeight="1">
      <c r="F841" s="3"/>
    </row>
    <row r="842" spans="6:6" ht="16.5" customHeight="1">
      <c r="F842" s="3"/>
    </row>
    <row r="843" spans="6:6" ht="16.5" customHeight="1">
      <c r="F843" s="3"/>
    </row>
    <row r="844" spans="6:6" ht="16.5" customHeight="1">
      <c r="F844" s="3"/>
    </row>
    <row r="845" spans="6:6" ht="16.5" customHeight="1">
      <c r="F845" s="3"/>
    </row>
    <row r="846" spans="6:6" ht="16.5" customHeight="1">
      <c r="F846" s="3"/>
    </row>
    <row r="847" spans="6:6" ht="16.5" customHeight="1">
      <c r="F847" s="3"/>
    </row>
    <row r="848" spans="6:6" ht="16.5" customHeight="1">
      <c r="F848" s="3"/>
    </row>
    <row r="849" spans="6:6" ht="16.5" customHeight="1">
      <c r="F849" s="3"/>
    </row>
    <row r="850" spans="6:6" ht="16.5" customHeight="1">
      <c r="F850" s="3"/>
    </row>
    <row r="851" spans="6:6" ht="16.5" customHeight="1">
      <c r="F851" s="3"/>
    </row>
    <row r="852" spans="6:6" ht="16.5" customHeight="1">
      <c r="F852" s="3"/>
    </row>
    <row r="853" spans="6:6" ht="16.5" customHeight="1">
      <c r="F853" s="3"/>
    </row>
    <row r="854" spans="6:6" ht="16.5" customHeight="1">
      <c r="F854" s="3"/>
    </row>
    <row r="855" spans="6:6" ht="16.5" customHeight="1">
      <c r="F855" s="3"/>
    </row>
    <row r="856" spans="6:6" ht="16.5" customHeight="1">
      <c r="F856" s="3"/>
    </row>
    <row r="857" spans="6:6" ht="16.5" customHeight="1">
      <c r="F857" s="3"/>
    </row>
    <row r="858" spans="6:6" ht="16.5" customHeight="1">
      <c r="F858" s="3"/>
    </row>
    <row r="859" spans="6:6" ht="16.5" customHeight="1">
      <c r="F859" s="3"/>
    </row>
    <row r="860" spans="6:6" ht="16.5" customHeight="1">
      <c r="F860" s="3"/>
    </row>
    <row r="861" spans="6:6" ht="16.5" customHeight="1">
      <c r="F861" s="3"/>
    </row>
    <row r="862" spans="6:6" ht="16.5" customHeight="1">
      <c r="F862" s="3"/>
    </row>
    <row r="863" spans="6:6" ht="16.5" customHeight="1">
      <c r="F863" s="3"/>
    </row>
    <row r="864" spans="6:6" ht="16.5" customHeight="1">
      <c r="F864" s="3"/>
    </row>
    <row r="865" spans="6:6" ht="16.5" customHeight="1">
      <c r="F865" s="3"/>
    </row>
    <row r="866" spans="6:6" ht="16.5" customHeight="1">
      <c r="F866" s="3"/>
    </row>
    <row r="867" spans="6:6" ht="16.5" customHeight="1">
      <c r="F867" s="3"/>
    </row>
    <row r="868" spans="6:6" ht="16.5" customHeight="1">
      <c r="F868" s="3"/>
    </row>
    <row r="869" spans="6:6" ht="16.5" customHeight="1">
      <c r="F869" s="3"/>
    </row>
    <row r="870" spans="6:6" ht="16.5" customHeight="1">
      <c r="F870" s="3"/>
    </row>
    <row r="871" spans="6:6" ht="16.5" customHeight="1">
      <c r="F871" s="3"/>
    </row>
    <row r="872" spans="6:6" ht="16.5" customHeight="1">
      <c r="F872" s="3"/>
    </row>
    <row r="873" spans="6:6" ht="16.5" customHeight="1">
      <c r="F873" s="3"/>
    </row>
    <row r="874" spans="6:6" ht="16.5" customHeight="1">
      <c r="F874" s="3"/>
    </row>
    <row r="875" spans="6:6" ht="16.5" customHeight="1">
      <c r="F875" s="3"/>
    </row>
    <row r="876" spans="6:6" ht="16.5" customHeight="1">
      <c r="F876" s="3"/>
    </row>
    <row r="877" spans="6:6" ht="16.5" customHeight="1">
      <c r="F877" s="3"/>
    </row>
    <row r="878" spans="6:6" ht="16.5" customHeight="1">
      <c r="F878" s="3"/>
    </row>
    <row r="879" spans="6:6" ht="16.5" customHeight="1">
      <c r="F879" s="3"/>
    </row>
    <row r="880" spans="6:6" ht="16.5" customHeight="1">
      <c r="F880" s="3"/>
    </row>
    <row r="881" spans="6:6" ht="16.5" customHeight="1">
      <c r="F881" s="3"/>
    </row>
    <row r="882" spans="6:6" ht="16.5" customHeight="1">
      <c r="F882" s="3"/>
    </row>
    <row r="883" spans="6:6" ht="16.5" customHeight="1">
      <c r="F883" s="3"/>
    </row>
    <row r="884" spans="6:6" ht="16.5" customHeight="1">
      <c r="F884" s="3"/>
    </row>
    <row r="885" spans="6:6" ht="16.5" customHeight="1">
      <c r="F885" s="3"/>
    </row>
    <row r="886" spans="6:6" ht="16.5" customHeight="1">
      <c r="F886" s="3"/>
    </row>
    <row r="887" spans="6:6" ht="16.5" customHeight="1">
      <c r="F887" s="3"/>
    </row>
    <row r="888" spans="6:6" ht="16.5" customHeight="1">
      <c r="F888" s="3"/>
    </row>
    <row r="889" spans="6:6" ht="16.5" customHeight="1">
      <c r="F889" s="3"/>
    </row>
    <row r="890" spans="6:6" ht="16.5" customHeight="1">
      <c r="F890" s="3"/>
    </row>
    <row r="891" spans="6:6" ht="16.5" customHeight="1">
      <c r="F891" s="3"/>
    </row>
    <row r="892" spans="6:6" ht="16.5" customHeight="1">
      <c r="F892" s="3"/>
    </row>
    <row r="893" spans="6:6" ht="16.5" customHeight="1">
      <c r="F893" s="3"/>
    </row>
    <row r="894" spans="6:6" ht="16.5" customHeight="1">
      <c r="F894" s="3"/>
    </row>
    <row r="895" spans="6:6" ht="16.5" customHeight="1">
      <c r="F895" s="3"/>
    </row>
    <row r="896" spans="6:6" ht="16.5" customHeight="1">
      <c r="F896" s="3"/>
    </row>
    <row r="897" spans="6:6" ht="16.5" customHeight="1">
      <c r="F897" s="3"/>
    </row>
    <row r="898" spans="6:6" ht="16.5" customHeight="1">
      <c r="F898" s="3"/>
    </row>
    <row r="899" spans="6:6" ht="16.5" customHeight="1">
      <c r="F899" s="3"/>
    </row>
    <row r="900" spans="6:6" ht="16.5" customHeight="1">
      <c r="F900" s="3"/>
    </row>
    <row r="901" spans="6:6" ht="16.5" customHeight="1">
      <c r="F901" s="3"/>
    </row>
    <row r="902" spans="6:6" ht="16.5" customHeight="1">
      <c r="F902" s="3"/>
    </row>
    <row r="903" spans="6:6" ht="16.5" customHeight="1">
      <c r="F903" s="3"/>
    </row>
    <row r="904" spans="6:6" ht="16.5" customHeight="1">
      <c r="F904" s="3"/>
    </row>
    <row r="905" spans="6:6" ht="16.5" customHeight="1">
      <c r="F905" s="3"/>
    </row>
    <row r="906" spans="6:6" ht="16.5" customHeight="1">
      <c r="F906" s="3"/>
    </row>
    <row r="907" spans="6:6" ht="16.5" customHeight="1">
      <c r="F907" s="3"/>
    </row>
    <row r="908" spans="6:6" ht="16.5" customHeight="1">
      <c r="F908" s="3"/>
    </row>
    <row r="909" spans="6:6" ht="16.5" customHeight="1">
      <c r="F909" s="3"/>
    </row>
    <row r="910" spans="6:6" ht="16.5" customHeight="1">
      <c r="F910" s="3"/>
    </row>
    <row r="911" spans="6:6" ht="16.5" customHeight="1">
      <c r="F911" s="3"/>
    </row>
    <row r="912" spans="6:6" ht="16.5" customHeight="1">
      <c r="F912" s="3"/>
    </row>
    <row r="913" spans="6:6" ht="16.5" customHeight="1">
      <c r="F913" s="3"/>
    </row>
    <row r="914" spans="6:6" ht="16.5" customHeight="1">
      <c r="F914" s="3"/>
    </row>
    <row r="915" spans="6:6" ht="16.5" customHeight="1">
      <c r="F915" s="3"/>
    </row>
    <row r="916" spans="6:6" ht="16.5" customHeight="1">
      <c r="F916" s="3"/>
    </row>
    <row r="917" spans="6:6" ht="16.5" customHeight="1">
      <c r="F917" s="3"/>
    </row>
    <row r="918" spans="6:6" ht="16.5" customHeight="1">
      <c r="F918" s="3"/>
    </row>
    <row r="919" spans="6:6" ht="16.5" customHeight="1">
      <c r="F919" s="3"/>
    </row>
    <row r="920" spans="6:6" ht="16.5" customHeight="1">
      <c r="F920" s="3"/>
    </row>
    <row r="921" spans="6:6" ht="16.5" customHeight="1">
      <c r="F921" s="3"/>
    </row>
    <row r="922" spans="6:6" ht="16.5" customHeight="1">
      <c r="F922" s="3"/>
    </row>
    <row r="923" spans="6:6" ht="16.5" customHeight="1">
      <c r="F923" s="3"/>
    </row>
    <row r="924" spans="6:6" ht="16.5" customHeight="1">
      <c r="F924" s="3"/>
    </row>
    <row r="925" spans="6:6" ht="16.5" customHeight="1">
      <c r="F925" s="3"/>
    </row>
    <row r="926" spans="6:6" ht="16.5" customHeight="1">
      <c r="F926" s="3"/>
    </row>
    <row r="927" spans="6:6" ht="16.5" customHeight="1">
      <c r="F927" s="3"/>
    </row>
    <row r="928" spans="6:6" ht="16.5" customHeight="1">
      <c r="F928" s="3"/>
    </row>
    <row r="929" spans="6:6" ht="16.5" customHeight="1">
      <c r="F929" s="3"/>
    </row>
    <row r="930" spans="6:6" ht="16.5" customHeight="1">
      <c r="F930" s="3"/>
    </row>
    <row r="931" spans="6:6" ht="16.5" customHeight="1">
      <c r="F931" s="3"/>
    </row>
    <row r="932" spans="6:6" ht="16.5" customHeight="1">
      <c r="F932" s="3"/>
    </row>
    <row r="933" spans="6:6" ht="16.5" customHeight="1">
      <c r="F933" s="3"/>
    </row>
    <row r="934" spans="6:6" ht="16.5" customHeight="1">
      <c r="F934" s="3"/>
    </row>
    <row r="935" spans="6:6" ht="16.5" customHeight="1">
      <c r="F935" s="3"/>
    </row>
    <row r="936" spans="6:6" ht="16.5" customHeight="1">
      <c r="F936" s="3"/>
    </row>
    <row r="937" spans="6:6" ht="16.5" customHeight="1">
      <c r="F937" s="3"/>
    </row>
    <row r="938" spans="6:6" ht="16.5" customHeight="1">
      <c r="F938" s="3"/>
    </row>
    <row r="939" spans="6:6" ht="16.5" customHeight="1">
      <c r="F939" s="3"/>
    </row>
    <row r="940" spans="6:6" ht="16.5" customHeight="1">
      <c r="F940" s="3"/>
    </row>
    <row r="941" spans="6:6" ht="16.5" customHeight="1">
      <c r="F941" s="3"/>
    </row>
    <row r="942" spans="6:6" ht="16.5" customHeight="1">
      <c r="F942" s="3"/>
    </row>
    <row r="943" spans="6:6" ht="16.5" customHeight="1">
      <c r="F943" s="3"/>
    </row>
    <row r="944" spans="6:6" ht="16.5" customHeight="1">
      <c r="F944" s="3"/>
    </row>
    <row r="945" spans="6:6" ht="16.5" customHeight="1">
      <c r="F945" s="3"/>
    </row>
    <row r="946" spans="6:6" ht="16.5" customHeight="1">
      <c r="F946" s="3"/>
    </row>
    <row r="947" spans="6:6" ht="16.5" customHeight="1">
      <c r="F947" s="3"/>
    </row>
    <row r="948" spans="6:6" ht="16.5" customHeight="1">
      <c r="F948" s="3"/>
    </row>
    <row r="949" spans="6:6" ht="16.5" customHeight="1">
      <c r="F949" s="3"/>
    </row>
    <row r="950" spans="6:6" ht="16.5" customHeight="1">
      <c r="F950" s="3"/>
    </row>
    <row r="951" spans="6:6" ht="16.5" customHeight="1">
      <c r="F951" s="3"/>
    </row>
    <row r="952" spans="6:6" ht="16.5" customHeight="1">
      <c r="F952" s="3"/>
    </row>
    <row r="953" spans="6:6" ht="16.5" customHeight="1">
      <c r="F953" s="3"/>
    </row>
    <row r="954" spans="6:6" ht="16.5" customHeight="1">
      <c r="F954" s="3"/>
    </row>
    <row r="955" spans="6:6" ht="16.5" customHeight="1">
      <c r="F955" s="3"/>
    </row>
    <row r="956" spans="6:6" ht="16.5" customHeight="1">
      <c r="F956" s="3"/>
    </row>
    <row r="957" spans="6:6" ht="16.5" customHeight="1">
      <c r="F957" s="3"/>
    </row>
    <row r="958" spans="6:6" ht="16.5" customHeight="1">
      <c r="F958" s="3"/>
    </row>
    <row r="959" spans="6:6" ht="16.5" customHeight="1">
      <c r="F959" s="3"/>
    </row>
    <row r="960" spans="6:6" ht="16.5" customHeight="1">
      <c r="F960" s="3"/>
    </row>
    <row r="961" spans="6:6" ht="16.5" customHeight="1">
      <c r="F961" s="3"/>
    </row>
    <row r="962" spans="6:6" ht="16.5" customHeight="1">
      <c r="F962" s="3"/>
    </row>
    <row r="963" spans="6:6" ht="16.5" customHeight="1">
      <c r="F963" s="3"/>
    </row>
    <row r="964" spans="6:6" ht="16.5" customHeight="1">
      <c r="F964" s="3"/>
    </row>
    <row r="965" spans="6:6" ht="16.5" customHeight="1">
      <c r="F965" s="3"/>
    </row>
    <row r="966" spans="6:6" ht="16.5" customHeight="1">
      <c r="F966" s="3"/>
    </row>
    <row r="967" spans="6:6" ht="16.5" customHeight="1">
      <c r="F967" s="3"/>
    </row>
    <row r="968" spans="6:6" ht="16.5" customHeight="1">
      <c r="F968" s="3"/>
    </row>
    <row r="969" spans="6:6" ht="16.5" customHeight="1">
      <c r="F969" s="3"/>
    </row>
    <row r="970" spans="6:6" ht="16.5" customHeight="1">
      <c r="F970" s="3"/>
    </row>
    <row r="971" spans="6:6" ht="16.5" customHeight="1">
      <c r="F971" s="3"/>
    </row>
    <row r="972" spans="6:6" ht="16.5" customHeight="1">
      <c r="F972" s="3"/>
    </row>
    <row r="973" spans="6:6" ht="16.5" customHeight="1">
      <c r="F973" s="3"/>
    </row>
    <row r="974" spans="6:6" ht="16.5" customHeight="1">
      <c r="F974" s="3"/>
    </row>
    <row r="975" spans="6:6" ht="16.5" customHeight="1">
      <c r="F975" s="3"/>
    </row>
    <row r="976" spans="6:6" ht="16.5" customHeight="1">
      <c r="F976" s="3"/>
    </row>
    <row r="977" spans="6:6" ht="16.5" customHeight="1">
      <c r="F977" s="3"/>
    </row>
    <row r="978" spans="6:6" ht="16.5" customHeight="1">
      <c r="F978" s="3"/>
    </row>
    <row r="979" spans="6:6" ht="16.5" customHeight="1">
      <c r="F979" s="3"/>
    </row>
    <row r="980" spans="6:6" ht="16.5" customHeight="1">
      <c r="F980" s="3"/>
    </row>
    <row r="981" spans="6:6" ht="16.5" customHeight="1">
      <c r="F981" s="3"/>
    </row>
    <row r="982" spans="6:6" ht="16.5" customHeight="1">
      <c r="F982" s="3"/>
    </row>
    <row r="983" spans="6:6" ht="16.5" customHeight="1">
      <c r="F983" s="3"/>
    </row>
    <row r="984" spans="6:6" ht="16.5" customHeight="1">
      <c r="F984" s="3"/>
    </row>
    <row r="985" spans="6:6" ht="16.5" customHeight="1">
      <c r="F985" s="3"/>
    </row>
    <row r="986" spans="6:6" ht="16.5" customHeight="1">
      <c r="F986" s="3"/>
    </row>
    <row r="987" spans="6:6" ht="16.5" customHeight="1">
      <c r="F987" s="3"/>
    </row>
    <row r="988" spans="6:6" ht="16.5" customHeight="1">
      <c r="F988" s="3"/>
    </row>
    <row r="989" spans="6:6" ht="16.5" customHeight="1">
      <c r="F989" s="3"/>
    </row>
    <row r="990" spans="6:6" ht="16.5" customHeight="1">
      <c r="F990" s="3"/>
    </row>
    <row r="991" spans="6:6" ht="16.5" customHeight="1">
      <c r="F991" s="3"/>
    </row>
    <row r="992" spans="6:6" ht="16.5" customHeight="1">
      <c r="F992" s="3"/>
    </row>
    <row r="993" spans="6:6" ht="16.5" customHeight="1">
      <c r="F993" s="3"/>
    </row>
    <row r="994" spans="6:6" ht="16.5" customHeight="1">
      <c r="F994" s="3"/>
    </row>
    <row r="995" spans="6:6" ht="16.5" customHeight="1">
      <c r="F995" s="3"/>
    </row>
    <row r="996" spans="6:6" ht="16.5" customHeight="1">
      <c r="F996" s="3"/>
    </row>
    <row r="997" spans="6:6" ht="16.5" customHeight="1">
      <c r="F997" s="3"/>
    </row>
    <row r="998" spans="6:6" ht="16.5" customHeight="1">
      <c r="F998" s="3"/>
    </row>
    <row r="999" spans="6:6" ht="16.5" customHeight="1">
      <c r="F999" s="3"/>
    </row>
    <row r="1000" spans="6:6" ht="16.5" customHeight="1">
      <c r="F1000" s="3"/>
    </row>
  </sheetData>
  <autoFilter ref="A1:G206" xr:uid="{00000000-0009-0000-0000-000000000000}">
    <sortState xmlns:xlrd2="http://schemas.microsoft.com/office/spreadsheetml/2017/richdata2" ref="A2:G206">
      <sortCondition ref="D1:D206"/>
    </sortState>
  </autoFilter>
  <phoneticPr fontId="3" type="noConversion"/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036C1-0657-46C2-BEFA-6ED6A7D9FB5D}">
  <sheetPr codeName="Sheet5"/>
  <dimension ref="A1:F14"/>
  <sheetViews>
    <sheetView workbookViewId="0"/>
  </sheetViews>
  <sheetFormatPr defaultRowHeight="15"/>
  <cols>
    <col min="1" max="1" width="37.7109375" bestFit="1" customWidth="1"/>
    <col min="2" max="2" width="12.7109375" bestFit="1" customWidth="1"/>
    <col min="3" max="3" width="16.85546875" bestFit="1" customWidth="1"/>
    <col min="4" max="4" width="17.28515625" bestFit="1" customWidth="1"/>
    <col min="5" max="5" width="16.85546875" bestFit="1" customWidth="1"/>
    <col min="6" max="6" width="52.42578125" bestFit="1" customWidth="1"/>
  </cols>
  <sheetData>
    <row r="1" spans="1:6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</row>
    <row r="2" spans="1:6">
      <c r="A2" t="s">
        <v>215</v>
      </c>
      <c r="B2" t="s">
        <v>216</v>
      </c>
      <c r="C2" s="5">
        <v>45327.836815185183</v>
      </c>
      <c r="D2" s="5">
        <v>45327.836815185183</v>
      </c>
      <c r="E2" s="5">
        <v>45297.071529814813</v>
      </c>
      <c r="F2" t="s">
        <v>217</v>
      </c>
    </row>
    <row r="3" spans="1:6">
      <c r="A3" t="s">
        <v>218</v>
      </c>
      <c r="B3" t="s">
        <v>216</v>
      </c>
      <c r="C3" s="5">
        <v>45327.828797905095</v>
      </c>
      <c r="D3" s="5">
        <v>45327.828797905095</v>
      </c>
      <c r="E3" s="5">
        <v>45298.237412152776</v>
      </c>
      <c r="F3" t="s">
        <v>217</v>
      </c>
    </row>
    <row r="4" spans="1:6">
      <c r="A4" t="s">
        <v>219</v>
      </c>
      <c r="B4" t="s">
        <v>216</v>
      </c>
      <c r="C4" s="5">
        <v>45326.041770995369</v>
      </c>
      <c r="D4" s="5">
        <v>45326.041770995369</v>
      </c>
      <c r="E4" s="5">
        <v>45300.145779363425</v>
      </c>
      <c r="F4" t="s">
        <v>217</v>
      </c>
    </row>
    <row r="5" spans="1:6">
      <c r="A5" t="s">
        <v>220</v>
      </c>
      <c r="B5" t="s">
        <v>216</v>
      </c>
      <c r="C5" s="5">
        <v>45327.838046631943</v>
      </c>
      <c r="D5" s="5">
        <v>45327.838046631943</v>
      </c>
      <c r="E5" s="5">
        <v>45300.006395173608</v>
      </c>
      <c r="F5" t="s">
        <v>217</v>
      </c>
    </row>
    <row r="6" spans="1:6">
      <c r="A6" t="s">
        <v>221</v>
      </c>
      <c r="B6" t="s">
        <v>216</v>
      </c>
      <c r="C6" s="5">
        <v>45326.864822210649</v>
      </c>
      <c r="D6" s="5">
        <v>45326.864822210649</v>
      </c>
      <c r="E6" s="5">
        <v>45303.067275520836</v>
      </c>
      <c r="F6" t="s">
        <v>217</v>
      </c>
    </row>
    <row r="7" spans="1:6">
      <c r="A7" t="s">
        <v>226</v>
      </c>
      <c r="B7" t="s">
        <v>216</v>
      </c>
      <c r="C7" s="5">
        <v>45323.207021006943</v>
      </c>
      <c r="D7" s="5">
        <v>45323.207021006943</v>
      </c>
      <c r="E7" s="5">
        <v>45304.704960057868</v>
      </c>
      <c r="F7" t="s">
        <v>217</v>
      </c>
    </row>
    <row r="8" spans="1:6">
      <c r="A8" t="s">
        <v>230</v>
      </c>
      <c r="B8" t="s">
        <v>216</v>
      </c>
      <c r="C8" s="5">
        <v>45323.143446527778</v>
      </c>
      <c r="D8" s="5">
        <v>45323.143446527778</v>
      </c>
      <c r="E8" s="5">
        <v>45307.62915296296</v>
      </c>
      <c r="F8" t="s">
        <v>217</v>
      </c>
    </row>
    <row r="9" spans="1:6">
      <c r="A9" t="s">
        <v>236</v>
      </c>
      <c r="B9" t="s">
        <v>216</v>
      </c>
      <c r="C9" s="5">
        <v>45323.143462222222</v>
      </c>
      <c r="D9" s="5">
        <v>45323.143462222222</v>
      </c>
      <c r="E9" s="5">
        <v>45310.713266018516</v>
      </c>
      <c r="F9" t="s">
        <v>217</v>
      </c>
    </row>
    <row r="10" spans="1:6">
      <c r="A10" t="s">
        <v>237</v>
      </c>
      <c r="B10" t="s">
        <v>216</v>
      </c>
      <c r="C10" s="5">
        <v>45323.236017557872</v>
      </c>
      <c r="D10" s="5">
        <v>45323.236017557872</v>
      </c>
      <c r="E10" s="5">
        <v>45312.414980023146</v>
      </c>
      <c r="F10" t="s">
        <v>217</v>
      </c>
    </row>
    <row r="11" spans="1:6">
      <c r="A11" t="s">
        <v>238</v>
      </c>
      <c r="B11" t="s">
        <v>216</v>
      </c>
      <c r="C11" s="5">
        <v>45325.95546258102</v>
      </c>
      <c r="D11" s="5">
        <v>45325.95546258102</v>
      </c>
      <c r="E11" s="5">
        <v>45321.087423124998</v>
      </c>
      <c r="F11" t="s">
        <v>217</v>
      </c>
    </row>
    <row r="12" spans="1:6">
      <c r="A12" t="s">
        <v>239</v>
      </c>
      <c r="B12" t="s">
        <v>216</v>
      </c>
      <c r="C12" s="5">
        <v>45325.955523993056</v>
      </c>
      <c r="D12" s="5">
        <v>45325.955523993056</v>
      </c>
      <c r="E12" s="5">
        <v>45321.798503437501</v>
      </c>
      <c r="F12" t="s">
        <v>217</v>
      </c>
    </row>
    <row r="13" spans="1:6">
      <c r="A13" t="s">
        <v>240</v>
      </c>
      <c r="B13" t="s">
        <v>216</v>
      </c>
      <c r="C13" s="5">
        <v>45327.957130254632</v>
      </c>
      <c r="D13" s="5">
        <v>45327.957130254632</v>
      </c>
      <c r="E13" s="5">
        <v>45322.754867476855</v>
      </c>
      <c r="F13" t="s">
        <v>217</v>
      </c>
    </row>
    <row r="14" spans="1:6">
      <c r="A14" t="s">
        <v>241</v>
      </c>
      <c r="B14" t="s">
        <v>216</v>
      </c>
      <c r="C14" s="5">
        <v>45327.83138221065</v>
      </c>
      <c r="D14" s="5">
        <v>45327.83138221065</v>
      </c>
      <c r="E14" s="5">
        <v>45325.858063472224</v>
      </c>
      <c r="F14" t="s">
        <v>217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DE83-ABA4-42D9-834D-1C766280365B}">
  <sheetPr codeName="Sheet3"/>
  <dimension ref="A1:BL206"/>
  <sheetViews>
    <sheetView zoomScaleNormal="100" workbookViewId="0">
      <pane xSplit="1" ySplit="1" topLeftCell="B185" activePane="bottomRight" state="frozen"/>
      <selection pane="topRight" activeCell="B1" sqref="B1"/>
      <selection pane="bottomLeft" activeCell="A2" sqref="A2"/>
      <selection pane="bottomRight" activeCell="A2" sqref="A2:A206"/>
    </sheetView>
  </sheetViews>
  <sheetFormatPr defaultRowHeight="15"/>
  <cols>
    <col min="1" max="1" width="36.5703125" customWidth="1"/>
    <col min="29" max="29" width="9.28515625" customWidth="1"/>
  </cols>
  <sheetData>
    <row r="1" spans="1:64" s="12" customFormat="1" ht="16.5">
      <c r="A1" s="12" t="s">
        <v>232</v>
      </c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  <c r="Z1" s="12">
        <v>25</v>
      </c>
      <c r="AA1" s="12">
        <v>26</v>
      </c>
      <c r="AB1" s="12">
        <v>27</v>
      </c>
      <c r="AC1" s="12">
        <v>28</v>
      </c>
      <c r="AD1" s="12">
        <v>29</v>
      </c>
      <c r="AE1" s="12">
        <v>30</v>
      </c>
      <c r="AF1" s="14" t="s">
        <v>233</v>
      </c>
      <c r="AG1" s="12">
        <v>1</v>
      </c>
      <c r="AH1" s="12">
        <v>2</v>
      </c>
      <c r="AI1" s="12">
        <v>3</v>
      </c>
      <c r="AJ1" s="12">
        <v>4</v>
      </c>
      <c r="AK1" s="12">
        <v>5</v>
      </c>
      <c r="AL1" s="12">
        <v>6</v>
      </c>
      <c r="AM1" s="12">
        <v>7</v>
      </c>
      <c r="AN1" s="12">
        <v>8</v>
      </c>
      <c r="AO1" s="12">
        <v>9</v>
      </c>
      <c r="AP1" s="12">
        <v>10</v>
      </c>
      <c r="AQ1" s="12">
        <v>11</v>
      </c>
      <c r="AR1" s="12">
        <v>12</v>
      </c>
      <c r="AS1" s="12">
        <v>13</v>
      </c>
      <c r="AT1" s="12">
        <v>14</v>
      </c>
      <c r="AU1" s="12">
        <v>15</v>
      </c>
      <c r="AV1" s="12">
        <v>16</v>
      </c>
      <c r="AW1" s="12">
        <v>17</v>
      </c>
      <c r="AX1" s="12">
        <v>18</v>
      </c>
      <c r="AY1" s="12">
        <v>19</v>
      </c>
      <c r="AZ1" s="12">
        <v>20</v>
      </c>
      <c r="BA1" s="12">
        <v>21</v>
      </c>
      <c r="BB1" s="12">
        <v>22</v>
      </c>
      <c r="BC1" s="12">
        <v>23</v>
      </c>
      <c r="BD1" s="12">
        <v>24</v>
      </c>
      <c r="BE1" s="12">
        <v>25</v>
      </c>
      <c r="BF1" s="12">
        <v>26</v>
      </c>
      <c r="BG1" s="12">
        <v>27</v>
      </c>
      <c r="BH1" s="12">
        <v>28</v>
      </c>
      <c r="BI1" s="12">
        <v>29</v>
      </c>
      <c r="BJ1" s="12">
        <v>30</v>
      </c>
      <c r="BK1" s="13" t="s">
        <v>234</v>
      </c>
      <c r="BL1" s="14" t="s">
        <v>231</v>
      </c>
    </row>
    <row r="2" spans="1:64">
      <c r="A2" t="s">
        <v>275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9</v>
      </c>
      <c r="N2">
        <v>12</v>
      </c>
      <c r="O2">
        <v>2</v>
      </c>
      <c r="P2">
        <v>5</v>
      </c>
      <c r="Q2">
        <v>4</v>
      </c>
      <c r="R2">
        <v>4</v>
      </c>
      <c r="S2">
        <v>1</v>
      </c>
      <c r="T2">
        <v>4</v>
      </c>
      <c r="U2">
        <v>3</v>
      </c>
      <c r="V2">
        <v>0</v>
      </c>
      <c r="W2">
        <v>0</v>
      </c>
      <c r="X2">
        <v>2</v>
      </c>
      <c r="Y2">
        <v>2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f>SUMPRODUCT($B$1:$AE$1,B2:AE2)/SUM(B2:AE2)</f>
        <v>15.274509803921569</v>
      </c>
      <c r="AG2">
        <f>B2*(B$1-$AF2)^2</f>
        <v>0</v>
      </c>
      <c r="AH2">
        <f>C2*(C$1-$AF2)^2</f>
        <v>0</v>
      </c>
      <c r="AI2">
        <f>D2*(D$1-$AF2)^2</f>
        <v>0</v>
      </c>
      <c r="AJ2">
        <f>E2*(E$1-$AF2)^2</f>
        <v>0</v>
      </c>
      <c r="AK2">
        <f>F2*(F$1-$AF2)^2</f>
        <v>0</v>
      </c>
      <c r="AL2">
        <f>G2*(G$1-$AF2)^2</f>
        <v>0</v>
      </c>
      <c r="AM2">
        <f>H2*(H$1-$AF2)^2</f>
        <v>0</v>
      </c>
      <c r="AN2">
        <f>I2*(I$1-$AF2)^2</f>
        <v>0</v>
      </c>
      <c r="AO2">
        <f>J2*(J$1-$AF2)^2</f>
        <v>0</v>
      </c>
      <c r="AP2">
        <f>K2*(K$1-$AF2)^2</f>
        <v>27.820453671664751</v>
      </c>
      <c r="AQ2">
        <f>L2*(L$1-$AF2)^2</f>
        <v>36.542868127643224</v>
      </c>
      <c r="AR2">
        <f>M2*(M$1-$AF2)^2</f>
        <v>96.501730103806281</v>
      </c>
      <c r="AS2">
        <f>N2*(N$1-$AF2)^2</f>
        <v>62.080738177624035</v>
      </c>
      <c r="AT2">
        <f>O2*(O$1-$AF2)^2</f>
        <v>3.2487504805843948</v>
      </c>
      <c r="AU2">
        <f>P2*(P$1-$AF2)^2</f>
        <v>0.37677816224529248</v>
      </c>
      <c r="AV2">
        <f>Q2*(Q$1-$AF2)^2</f>
        <v>2.1053440984236786</v>
      </c>
      <c r="AW2">
        <f>R2*(R$1-$AF2)^2</f>
        <v>11.909265667051123</v>
      </c>
      <c r="AX2">
        <f>S2*(S$1-$AF2)^2</f>
        <v>7.4282968089196419</v>
      </c>
      <c r="AY2">
        <f>T2*(T$1-$AF2)^2</f>
        <v>55.517108804306012</v>
      </c>
      <c r="AZ2">
        <f>U2*(U$1-$AF2)^2</f>
        <v>66.99077277970008</v>
      </c>
      <c r="BA2">
        <f>V2*(V$1-$AF2)^2</f>
        <v>0</v>
      </c>
      <c r="BB2">
        <f>W2*(W$1-$AF2)^2</f>
        <v>0</v>
      </c>
      <c r="BC2">
        <f>X2*(X$1-$AF2)^2</f>
        <v>119.3663975394079</v>
      </c>
      <c r="BD2">
        <f>Y2*(Y$1-$AF2)^2</f>
        <v>152.26835832372163</v>
      </c>
      <c r="BE2">
        <f>Z2*(Z$1-$AF2)^2</f>
        <v>0</v>
      </c>
      <c r="BF2">
        <f>AA2*(AA$1-$AF2)^2</f>
        <v>0</v>
      </c>
      <c r="BG2">
        <f>AB2*(AB$1-$AF2)^2</f>
        <v>0</v>
      </c>
      <c r="BH2">
        <f>AC2*(AC$1-$AF2)^2</f>
        <v>0</v>
      </c>
      <c r="BI2">
        <f>AD2*(AD$1-$AF2)^2</f>
        <v>0</v>
      </c>
      <c r="BJ2">
        <f>AE2*(AE$1-$AF2)^2</f>
        <v>0</v>
      </c>
      <c r="BK2">
        <f>SQRT(SUM(AG2:BJ2)/SUM(B2:AE2))</f>
        <v>3.5484237393831091</v>
      </c>
      <c r="BL2">
        <f>_xlfn.FLOOR.MATH((AF2-BK2)/5)</f>
        <v>2</v>
      </c>
    </row>
    <row r="3" spans="1:64">
      <c r="A3" t="s">
        <v>276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6</v>
      </c>
      <c r="S3">
        <v>12</v>
      </c>
      <c r="T3">
        <v>7</v>
      </c>
      <c r="U3">
        <v>8</v>
      </c>
      <c r="V3">
        <v>9</v>
      </c>
      <c r="W3">
        <v>7</v>
      </c>
      <c r="X3">
        <v>0</v>
      </c>
      <c r="Y3">
        <v>2</v>
      </c>
      <c r="Z3">
        <v>3</v>
      </c>
      <c r="AA3">
        <v>2</v>
      </c>
      <c r="AB3">
        <v>0</v>
      </c>
      <c r="AC3">
        <v>0</v>
      </c>
      <c r="AD3">
        <v>0</v>
      </c>
      <c r="AE3">
        <v>0</v>
      </c>
      <c r="AF3">
        <f>SUMPRODUCT($B$1:$AE$1,B3:AE3)/SUM(B3:AE3)</f>
        <v>20.160714285714285</v>
      </c>
      <c r="AG3">
        <f>B3*(B$1-$AF3)^2</f>
        <v>0</v>
      </c>
      <c r="AH3">
        <f>C3*(C$1-$AF3)^2</f>
        <v>0</v>
      </c>
      <c r="AI3">
        <f>D3*(D$1-$AF3)^2</f>
        <v>0</v>
      </c>
      <c r="AJ3">
        <f>E3*(E$1-$AF3)^2</f>
        <v>0</v>
      </c>
      <c r="AK3">
        <f>F3*(F$1-$AF3)^2</f>
        <v>0</v>
      </c>
      <c r="AL3">
        <f>G3*(G$1-$AF3)^2</f>
        <v>0</v>
      </c>
      <c r="AM3">
        <f>H3*(H$1-$AF3)^2</f>
        <v>0</v>
      </c>
      <c r="AN3">
        <f>I3*(I$1-$AF3)^2</f>
        <v>0</v>
      </c>
      <c r="AO3">
        <f>J3*(J$1-$AF3)^2</f>
        <v>0</v>
      </c>
      <c r="AP3">
        <f>K3*(K$1-$AF3)^2</f>
        <v>0</v>
      </c>
      <c r="AQ3">
        <f>L3*(L$1-$AF3)^2</f>
        <v>0</v>
      </c>
      <c r="AR3">
        <f>M3*(M$1-$AF3)^2</f>
        <v>0</v>
      </c>
      <c r="AS3">
        <f>N3*(N$1-$AF3)^2</f>
        <v>0</v>
      </c>
      <c r="AT3">
        <f>O3*(O$1-$AF3)^2</f>
        <v>0</v>
      </c>
      <c r="AU3">
        <f>P3*(P$1-$AF3)^2</f>
        <v>0</v>
      </c>
      <c r="AV3">
        <f>Q3*(Q$1-$AF3)^2</f>
        <v>0</v>
      </c>
      <c r="AW3">
        <f>R3*(R$1-$AF3)^2</f>
        <v>59.940688775510168</v>
      </c>
      <c r="AX3">
        <f>S3*(S$1-$AF3)^2</f>
        <v>56.024234693877496</v>
      </c>
      <c r="AY3">
        <f>T3*(T$1-$AF3)^2</f>
        <v>9.4308035714285552</v>
      </c>
      <c r="AZ3">
        <f>U3*(U$1-$AF3)^2</f>
        <v>0.20663265306122189</v>
      </c>
      <c r="BA3">
        <f>V3*(V$1-$AF3)^2</f>
        <v>6.3396045918367498</v>
      </c>
      <c r="BB3">
        <f>W3*(W$1-$AF3)^2</f>
        <v>23.680803571428598</v>
      </c>
      <c r="BC3">
        <f>X3*(X$1-$AF3)^2</f>
        <v>0</v>
      </c>
      <c r="BD3">
        <f>Y3*(Y$1-$AF3)^2</f>
        <v>29.48022959183675</v>
      </c>
      <c r="BE3">
        <f>Z3*(Z$1-$AF3)^2</f>
        <v>70.256058673469425</v>
      </c>
      <c r="BF3">
        <f>AA3*(AA$1-$AF3)^2</f>
        <v>68.194515306122469</v>
      </c>
      <c r="BG3">
        <f>AB3*(AB$1-$AF3)^2</f>
        <v>0</v>
      </c>
      <c r="BH3">
        <f>AC3*(AC$1-$AF3)^2</f>
        <v>0</v>
      </c>
      <c r="BI3">
        <f>AD3*(AD$1-$AF3)^2</f>
        <v>0</v>
      </c>
      <c r="BJ3">
        <f>AE3*(AE$1-$AF3)^2</f>
        <v>0</v>
      </c>
      <c r="BK3">
        <f>SQRT(SUM(AG3:BJ3)/SUM(B3:AE3))</f>
        <v>2.4036934802380223</v>
      </c>
      <c r="BL3">
        <f>_xlfn.FLOOR.MATH((AF3-BK3)/5)</f>
        <v>3</v>
      </c>
    </row>
    <row r="4" spans="1:64">
      <c r="A4" t="s">
        <v>277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0</v>
      </c>
      <c r="AE4">
        <v>0</v>
      </c>
      <c r="AF4">
        <f>SUMPRODUCT($B$1:$AE$1,B4:AE4)/SUM(B4:AE4)</f>
        <v>25</v>
      </c>
      <c r="AG4">
        <f>B4*(B$1-$AF4)^2</f>
        <v>0</v>
      </c>
      <c r="AH4">
        <f>C4*(C$1-$AF4)^2</f>
        <v>0</v>
      </c>
      <c r="AI4">
        <f>D4*(D$1-$AF4)^2</f>
        <v>0</v>
      </c>
      <c r="AJ4">
        <f>E4*(E$1-$AF4)^2</f>
        <v>0</v>
      </c>
      <c r="AK4">
        <f>F4*(F$1-$AF4)^2</f>
        <v>0</v>
      </c>
      <c r="AL4">
        <f>G4*(G$1-$AF4)^2</f>
        <v>0</v>
      </c>
      <c r="AM4">
        <f>H4*(H$1-$AF4)^2</f>
        <v>0</v>
      </c>
      <c r="AN4">
        <f>I4*(I$1-$AF4)^2</f>
        <v>0</v>
      </c>
      <c r="AO4">
        <f>J4*(J$1-$AF4)^2</f>
        <v>0</v>
      </c>
      <c r="AP4">
        <f>K4*(K$1-$AF4)^2</f>
        <v>0</v>
      </c>
      <c r="AQ4">
        <f>L4*(L$1-$AF4)^2</f>
        <v>0</v>
      </c>
      <c r="AR4">
        <f>M4*(M$1-$AF4)^2</f>
        <v>0</v>
      </c>
      <c r="AS4">
        <f>N4*(N$1-$AF4)^2</f>
        <v>0</v>
      </c>
      <c r="AT4">
        <f>O4*(O$1-$AF4)^2</f>
        <v>0</v>
      </c>
      <c r="AU4">
        <f>P4*(P$1-$AF4)^2</f>
        <v>0</v>
      </c>
      <c r="AV4">
        <f>Q4*(Q$1-$AF4)^2</f>
        <v>0</v>
      </c>
      <c r="AW4">
        <f>R4*(R$1-$AF4)^2</f>
        <v>0</v>
      </c>
      <c r="AX4">
        <f>S4*(S$1-$AF4)^2</f>
        <v>0</v>
      </c>
      <c r="AY4">
        <f>T4*(T$1-$AF4)^2</f>
        <v>0</v>
      </c>
      <c r="AZ4">
        <f>U4*(U$1-$AF4)^2</f>
        <v>0</v>
      </c>
      <c r="BA4">
        <f>V4*(V$1-$AF4)^2</f>
        <v>0</v>
      </c>
      <c r="BB4">
        <f>W4*(W$1-$AF4)^2</f>
        <v>0</v>
      </c>
      <c r="BC4">
        <f>X4*(X$1-$AF4)^2</f>
        <v>0</v>
      </c>
      <c r="BD4">
        <f>Y4*(Y$1-$AF4)^2</f>
        <v>0</v>
      </c>
      <c r="BE4">
        <f>Z4*(Z$1-$AF4)^2</f>
        <v>0</v>
      </c>
      <c r="BF4">
        <f>AA4*(AA$1-$AF4)^2</f>
        <v>0</v>
      </c>
      <c r="BG4">
        <f>AB4*(AB$1-$AF4)^2</f>
        <v>0</v>
      </c>
      <c r="BH4">
        <f>AC4*(AC$1-$AF4)^2</f>
        <v>0</v>
      </c>
      <c r="BI4">
        <f>AD4*(AD$1-$AF4)^2</f>
        <v>0</v>
      </c>
      <c r="BJ4">
        <f>AE4*(AE$1-$AF4)^2</f>
        <v>0</v>
      </c>
      <c r="BK4">
        <f>SQRT(SUM(AG4:BJ4)/SUM(B4:AE4))</f>
        <v>0</v>
      </c>
      <c r="BL4">
        <f>_xlfn.FLOOR.MATH((AF4-BK4)/5)</f>
        <v>5</v>
      </c>
    </row>
    <row r="5" spans="1:64">
      <c r="A5" t="s">
        <v>278</v>
      </c>
      <c r="B5">
        <v>0</v>
      </c>
      <c r="C5">
        <v>2</v>
      </c>
      <c r="D5">
        <v>8</v>
      </c>
      <c r="E5">
        <v>20</v>
      </c>
      <c r="F5">
        <v>39</v>
      </c>
      <c r="G5">
        <v>31</v>
      </c>
      <c r="H5">
        <v>23</v>
      </c>
      <c r="I5">
        <v>45</v>
      </c>
      <c r="J5">
        <v>41</v>
      </c>
      <c r="K5">
        <v>33</v>
      </c>
      <c r="L5">
        <v>50</v>
      </c>
      <c r="M5">
        <v>81</v>
      </c>
      <c r="N5">
        <v>63</v>
      </c>
      <c r="O5">
        <v>56</v>
      </c>
      <c r="P5">
        <v>56</v>
      </c>
      <c r="Q5">
        <v>78</v>
      </c>
      <c r="R5">
        <v>73</v>
      </c>
      <c r="S5">
        <v>78</v>
      </c>
      <c r="T5">
        <v>72</v>
      </c>
      <c r="U5">
        <v>55</v>
      </c>
      <c r="V5">
        <v>60</v>
      </c>
      <c r="W5">
        <v>67</v>
      </c>
      <c r="X5">
        <v>46</v>
      </c>
      <c r="Y5">
        <v>50</v>
      </c>
      <c r="Z5">
        <v>48</v>
      </c>
      <c r="AA5">
        <v>34</v>
      </c>
      <c r="AB5">
        <v>21</v>
      </c>
      <c r="AC5">
        <v>18</v>
      </c>
      <c r="AD5">
        <v>9</v>
      </c>
      <c r="AE5">
        <v>7</v>
      </c>
      <c r="AF5">
        <f>SUMPRODUCT($B$1:$AE$1,B5:AE5)/SUM(B5:AE5)</f>
        <v>16.339398734177216</v>
      </c>
      <c r="AG5">
        <f>B5*(B$1-$AF5)^2</f>
        <v>0</v>
      </c>
      <c r="AH5">
        <f>C5*(C$1-$AF5)^2</f>
        <v>411.23671211544627</v>
      </c>
      <c r="AI5">
        <f>D5*(D$1-$AF5)^2</f>
        <v>1423.5164687149497</v>
      </c>
      <c r="AJ5">
        <f>E5*(E$1-$AF5)^2</f>
        <v>3045.2152224202855</v>
      </c>
      <c r="AK5">
        <f>F5*(F$1-$AF5)^2</f>
        <v>5014.6965824537347</v>
      </c>
      <c r="AL5">
        <f>G5*(G$1-$AF5)^2</f>
        <v>3313.9981517134679</v>
      </c>
      <c r="AM5">
        <f>H5*(H$1-$AF5)^2</f>
        <v>2006.1604804668727</v>
      </c>
      <c r="AN5">
        <f>I5*(I$1-$AF5)^2</f>
        <v>3129.5507061418448</v>
      </c>
      <c r="AO5">
        <f>J5*(J$1-$AF5)^2</f>
        <v>2208.537724948927</v>
      </c>
      <c r="AP5">
        <f>K5*(K$1-$AF5)^2</f>
        <v>1326.2032182592939</v>
      </c>
      <c r="AQ5">
        <f>L5*(L$1-$AF5)^2</f>
        <v>1425.4589421266628</v>
      </c>
      <c r="AR5">
        <f>M5*(M$1-$AF5)^2</f>
        <v>1525.2608913084848</v>
      </c>
      <c r="AS5">
        <f>N5*(N$1-$AF5)^2</f>
        <v>702.54978606693669</v>
      </c>
      <c r="AT5">
        <f>O5*(O$1-$AF5)^2</f>
        <v>306.47604049831779</v>
      </c>
      <c r="AU5">
        <f>P5*(P$1-$AF5)^2</f>
        <v>100.46338227046961</v>
      </c>
      <c r="AV5">
        <f>Q5*(Q$1-$AF5)^2</f>
        <v>8.984937059365528</v>
      </c>
      <c r="AW5">
        <f>R5*(R$1-$AF5)^2</f>
        <v>31.856764365686509</v>
      </c>
      <c r="AX5">
        <f>S5*(S$1-$AF5)^2</f>
        <v>215.09253199607411</v>
      </c>
      <c r="AY5">
        <f>T5*(T$1-$AF5)^2</f>
        <v>509.67353489024168</v>
      </c>
      <c r="AZ5">
        <f>U5*(U$1-$AF5)^2</f>
        <v>737.00008950388519</v>
      </c>
      <c r="BA5">
        <f>V5*(V$1-$AF5)^2</f>
        <v>1303.2722495393361</v>
      </c>
      <c r="BB5">
        <f>W5*(W$1-$AF5)^2</f>
        <v>2146.8412482725121</v>
      </c>
      <c r="BC5">
        <f>X5*(X$1-$AF5)^2</f>
        <v>2040.7260242248835</v>
      </c>
      <c r="BD5">
        <f>Y5*(Y$1-$AF5)^2</f>
        <v>2934.2405876962821</v>
      </c>
      <c r="BE5">
        <f>Z5*(Z$1-$AF5)^2</f>
        <v>3600.2886857074182</v>
      </c>
      <c r="BF5">
        <f>AA5*(AA$1-$AF5)^2</f>
        <v>3173.1253717853706</v>
      </c>
      <c r="BG5">
        <f>AB5*(AB$1-$AF5)^2</f>
        <v>2386.6168063261093</v>
      </c>
      <c r="BH5">
        <f>AC5*(AC$1-$AF5)^2</f>
        <v>2447.4531938491423</v>
      </c>
      <c r="BI5">
        <f>AD5*(AD$1-$AF5)^2</f>
        <v>1442.6174197093815</v>
      </c>
      <c r="BJ5">
        <f>AE5*(AE$1-$AF5)^2</f>
        <v>1306.2841886065933</v>
      </c>
      <c r="BK5">
        <f>SQRT(SUM(AG5:BJ5)/SUM(B5:AE5))</f>
        <v>6.3034673715584653</v>
      </c>
      <c r="BL5">
        <f>_xlfn.FLOOR.MATH((AF5-BK5)/5)</f>
        <v>2</v>
      </c>
    </row>
    <row r="6" spans="1:64">
      <c r="A6" t="s">
        <v>279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4</v>
      </c>
      <c r="U6">
        <v>5</v>
      </c>
      <c r="V6">
        <v>8</v>
      </c>
      <c r="W6">
        <v>5</v>
      </c>
      <c r="X6">
        <v>3</v>
      </c>
      <c r="Y6">
        <v>2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f>SUMPRODUCT($B$1:$AE$1,B6:AE6)/SUM(B6:AE6)</f>
        <v>21.148148148148149</v>
      </c>
      <c r="AG6">
        <f>B6*(B$1-$AF6)^2</f>
        <v>0</v>
      </c>
      <c r="AH6">
        <f>C6*(C$1-$AF6)^2</f>
        <v>0</v>
      </c>
      <c r="AI6">
        <f>D6*(D$1-$AF6)^2</f>
        <v>0</v>
      </c>
      <c r="AJ6">
        <f>E6*(E$1-$AF6)^2</f>
        <v>0</v>
      </c>
      <c r="AK6">
        <f>F6*(F$1-$AF6)^2</f>
        <v>0</v>
      </c>
      <c r="AL6">
        <f>G6*(G$1-$AF6)^2</f>
        <v>0</v>
      </c>
      <c r="AM6">
        <f>H6*(H$1-$AF6)^2</f>
        <v>0</v>
      </c>
      <c r="AN6">
        <f>I6*(I$1-$AF6)^2</f>
        <v>0</v>
      </c>
      <c r="AO6">
        <f>J6*(J$1-$AF6)^2</f>
        <v>0</v>
      </c>
      <c r="AP6">
        <f>K6*(K$1-$AF6)^2</f>
        <v>0</v>
      </c>
      <c r="AQ6">
        <f>L6*(L$1-$AF6)^2</f>
        <v>0</v>
      </c>
      <c r="AR6">
        <f>M6*(M$1-$AF6)^2</f>
        <v>0</v>
      </c>
      <c r="AS6">
        <f>N6*(N$1-$AF6)^2</f>
        <v>0</v>
      </c>
      <c r="AT6">
        <f>O6*(O$1-$AF6)^2</f>
        <v>0</v>
      </c>
      <c r="AU6">
        <f>P6*(P$1-$AF6)^2</f>
        <v>0</v>
      </c>
      <c r="AV6">
        <f>Q6*(Q$1-$AF6)^2</f>
        <v>0</v>
      </c>
      <c r="AW6">
        <f>R6*(R$1-$AF6)^2</f>
        <v>0</v>
      </c>
      <c r="AX6">
        <f>S6*(S$1-$AF6)^2</f>
        <v>0</v>
      </c>
      <c r="AY6">
        <f>T6*(T$1-$AF6)^2</f>
        <v>18.458161865569284</v>
      </c>
      <c r="AZ6">
        <f>U6*(U$1-$AF6)^2</f>
        <v>6.5912208504801173</v>
      </c>
      <c r="BA6">
        <f>V6*(V$1-$AF6)^2</f>
        <v>0.17558299039780678</v>
      </c>
      <c r="BB6">
        <f>W6*(W$1-$AF6)^2</f>
        <v>3.6282578875171412</v>
      </c>
      <c r="BC6">
        <f>X6*(X$1-$AF6)^2</f>
        <v>10.288065843621393</v>
      </c>
      <c r="BD6">
        <f>Y6*(Y$1-$AF6)^2</f>
        <v>16.266117969821664</v>
      </c>
      <c r="BE6">
        <f>Z6*(Z$1-$AF6)^2</f>
        <v>0</v>
      </c>
      <c r="BF6">
        <f>AA6*(AA$1-$AF6)^2</f>
        <v>0</v>
      </c>
      <c r="BG6">
        <f>AB6*(AB$1-$AF6)^2</f>
        <v>0</v>
      </c>
      <c r="BH6">
        <f>AC6*(AC$1-$AF6)^2</f>
        <v>0</v>
      </c>
      <c r="BI6">
        <f>AD6*(AD$1-$AF6)^2</f>
        <v>0</v>
      </c>
      <c r="BJ6">
        <f>AE6*(AE$1-$AF6)^2</f>
        <v>0</v>
      </c>
      <c r="BK6">
        <f>SQRT(SUM(AG6:BJ6)/SUM(B6:AE6))</f>
        <v>1.4325244152454604</v>
      </c>
      <c r="BL6">
        <f>_xlfn.FLOOR.MATH((AF6-BK6)/5)</f>
        <v>3</v>
      </c>
    </row>
    <row r="7" spans="1:64">
      <c r="A7" t="s">
        <v>280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  <c r="X7">
        <v>2</v>
      </c>
      <c r="Y7">
        <v>7</v>
      </c>
      <c r="Z7">
        <v>2</v>
      </c>
      <c r="AA7">
        <v>3</v>
      </c>
      <c r="AB7">
        <v>0</v>
      </c>
      <c r="AC7">
        <v>1</v>
      </c>
      <c r="AD7">
        <v>0</v>
      </c>
      <c r="AE7">
        <v>0</v>
      </c>
      <c r="AF7">
        <f>SUMPRODUCT($B$1:$AE$1,B7:AE7)/SUM(B7:AE7)</f>
        <v>24.5</v>
      </c>
      <c r="AG7">
        <f>B7*(B$1-$AF7)^2</f>
        <v>0</v>
      </c>
      <c r="AH7">
        <f>C7*(C$1-$AF7)^2</f>
        <v>0</v>
      </c>
      <c r="AI7">
        <f>D7*(D$1-$AF7)^2</f>
        <v>0</v>
      </c>
      <c r="AJ7">
        <f>E7*(E$1-$AF7)^2</f>
        <v>0</v>
      </c>
      <c r="AK7">
        <f>F7*(F$1-$AF7)^2</f>
        <v>0</v>
      </c>
      <c r="AL7">
        <f>G7*(G$1-$AF7)^2</f>
        <v>0</v>
      </c>
      <c r="AM7">
        <f>H7*(H$1-$AF7)^2</f>
        <v>0</v>
      </c>
      <c r="AN7">
        <f>I7*(I$1-$AF7)^2</f>
        <v>0</v>
      </c>
      <c r="AO7">
        <f>J7*(J$1-$AF7)^2</f>
        <v>0</v>
      </c>
      <c r="AP7">
        <f>K7*(K$1-$AF7)^2</f>
        <v>0</v>
      </c>
      <c r="AQ7">
        <f>L7*(L$1-$AF7)^2</f>
        <v>0</v>
      </c>
      <c r="AR7">
        <f>M7*(M$1-$AF7)^2</f>
        <v>0</v>
      </c>
      <c r="AS7">
        <f>N7*(N$1-$AF7)^2</f>
        <v>0</v>
      </c>
      <c r="AT7">
        <f>O7*(O$1-$AF7)^2</f>
        <v>0</v>
      </c>
      <c r="AU7">
        <f>P7*(P$1-$AF7)^2</f>
        <v>0</v>
      </c>
      <c r="AV7">
        <f>Q7*(Q$1-$AF7)^2</f>
        <v>0</v>
      </c>
      <c r="AW7">
        <f>R7*(R$1-$AF7)^2</f>
        <v>0</v>
      </c>
      <c r="AX7">
        <f>S7*(S$1-$AF7)^2</f>
        <v>0</v>
      </c>
      <c r="AY7">
        <f>T7*(T$1-$AF7)^2</f>
        <v>0</v>
      </c>
      <c r="AZ7">
        <f>U7*(U$1-$AF7)^2</f>
        <v>0</v>
      </c>
      <c r="BA7">
        <f>V7*(V$1-$AF7)^2</f>
        <v>0</v>
      </c>
      <c r="BB7">
        <f>W7*(W$1-$AF7)^2</f>
        <v>6.25</v>
      </c>
      <c r="BC7">
        <f>X7*(X$1-$AF7)^2</f>
        <v>4.5</v>
      </c>
      <c r="BD7">
        <f>Y7*(Y$1-$AF7)^2</f>
        <v>1.75</v>
      </c>
      <c r="BE7">
        <f>Z7*(Z$1-$AF7)^2</f>
        <v>0.5</v>
      </c>
      <c r="BF7">
        <f>AA7*(AA$1-$AF7)^2</f>
        <v>6.75</v>
      </c>
      <c r="BG7">
        <f>AB7*(AB$1-$AF7)^2</f>
        <v>0</v>
      </c>
      <c r="BH7">
        <f>AC7*(AC$1-$AF7)^2</f>
        <v>12.25</v>
      </c>
      <c r="BI7">
        <f>AD7*(AD$1-$AF7)^2</f>
        <v>0</v>
      </c>
      <c r="BJ7">
        <f>AE7*(AE$1-$AF7)^2</f>
        <v>0</v>
      </c>
      <c r="BK7">
        <f>SQRT(SUM(AG7:BJ7)/SUM(B7:AE7))</f>
        <v>1.4142135623730951</v>
      </c>
      <c r="BL7">
        <f>_xlfn.FLOOR.MATH((AF7-BK7)/5)</f>
        <v>4</v>
      </c>
    </row>
    <row r="8" spans="1:64">
      <c r="A8" t="s">
        <v>281</v>
      </c>
      <c r="B8">
        <v>12</v>
      </c>
      <c r="C8">
        <v>0</v>
      </c>
      <c r="D8">
        <v>11</v>
      </c>
      <c r="E8">
        <v>15</v>
      </c>
      <c r="F8">
        <v>9</v>
      </c>
      <c r="G8">
        <v>11</v>
      </c>
      <c r="H8">
        <v>10</v>
      </c>
      <c r="I8">
        <v>14</v>
      </c>
      <c r="J8">
        <v>7</v>
      </c>
      <c r="K8">
        <v>12</v>
      </c>
      <c r="L8">
        <v>9</v>
      </c>
      <c r="M8">
        <v>11</v>
      </c>
      <c r="N8">
        <v>14</v>
      </c>
      <c r="O8">
        <v>13</v>
      </c>
      <c r="P8">
        <v>11</v>
      </c>
      <c r="Q8">
        <v>11</v>
      </c>
      <c r="R8">
        <v>8</v>
      </c>
      <c r="S8">
        <v>9</v>
      </c>
      <c r="T8">
        <v>9</v>
      </c>
      <c r="U8">
        <v>5</v>
      </c>
      <c r="V8">
        <v>7</v>
      </c>
      <c r="W8">
        <v>3</v>
      </c>
      <c r="X8">
        <v>10</v>
      </c>
      <c r="Y8">
        <v>3</v>
      </c>
      <c r="Z8">
        <v>1</v>
      </c>
      <c r="AA8">
        <v>4</v>
      </c>
      <c r="AB8">
        <v>2</v>
      </c>
      <c r="AC8">
        <v>5</v>
      </c>
      <c r="AD8">
        <v>1</v>
      </c>
      <c r="AE8">
        <v>1</v>
      </c>
      <c r="AF8">
        <f>SUMPRODUCT($B$1:$AE$1,B8:AE8)/SUM(B8:AE8)</f>
        <v>12.533613445378151</v>
      </c>
      <c r="AG8">
        <f>B8*(B$1-$AF8)^2</f>
        <v>1596.2908692888918</v>
      </c>
      <c r="AH8">
        <f>C8*(C$1-$AF8)^2</f>
        <v>0</v>
      </c>
      <c r="AI8">
        <f>D8*(D$1-$AF8)^2</f>
        <v>999.78763858484569</v>
      </c>
      <c r="AJ8">
        <f>E8*(E$1-$AF8)^2</f>
        <v>1092.3383765270814</v>
      </c>
      <c r="AK8">
        <f>F8*(F$1-$AF8)^2</f>
        <v>510.7979838994421</v>
      </c>
      <c r="AL8">
        <f>G8*(G$1-$AF8)^2</f>
        <v>469.56915118988769</v>
      </c>
      <c r="AM8">
        <f>H8*(H$1-$AF8)^2</f>
        <v>306.2087776286985</v>
      </c>
      <c r="AN8">
        <f>I8*(I$1-$AF8)^2</f>
        <v>287.75111220958968</v>
      </c>
      <c r="AO8">
        <f>J8*(J$1-$AF8)^2</f>
        <v>87.404967869500737</v>
      </c>
      <c r="AP8">
        <f>K8*(K$1-$AF8)^2</f>
        <v>77.030365087211351</v>
      </c>
      <c r="AQ8">
        <f>L8*(L$1-$AF8)^2</f>
        <v>21.167731798601789</v>
      </c>
      <c r="AR8">
        <f>M8*(M$1-$AF8)^2</f>
        <v>3.132176399971752</v>
      </c>
      <c r="AS8">
        <f>N8*(N$1-$AF8)^2</f>
        <v>3.0452298566485432</v>
      </c>
      <c r="AT8">
        <f>O8*(O$1-$AF8)^2</f>
        <v>27.953763858484571</v>
      </c>
      <c r="AU8">
        <f>P8*(P$1-$AF8)^2</f>
        <v>66.913689005013779</v>
      </c>
      <c r="AV8">
        <f>Q8*(Q$1-$AF8)^2</f>
        <v>132.17419320669444</v>
      </c>
      <c r="AW8">
        <f>R8*(R$1-$AF8)^2</f>
        <v>159.58887084245464</v>
      </c>
      <c r="AX8">
        <f>S8*(S$1-$AF8)^2</f>
        <v>268.93243768095476</v>
      </c>
      <c r="AY8">
        <f>T8*(T$1-$AF8)^2</f>
        <v>376.32739566414801</v>
      </c>
      <c r="AZ8">
        <f>U8*(U$1-$AF8)^2</f>
        <v>278.73464091518963</v>
      </c>
      <c r="BA8">
        <f>V8*(V$1-$AF8)^2</f>
        <v>501.75790904597136</v>
      </c>
      <c r="BB8">
        <f>W8*(W$1-$AF8)^2</f>
        <v>268.83742320457594</v>
      </c>
      <c r="BC8">
        <f>X8*(X$1-$AF8)^2</f>
        <v>1095.4524751076901</v>
      </c>
      <c r="BD8">
        <f>Y8*(Y$1-$AF8)^2</f>
        <v>394.43406186003813</v>
      </c>
      <c r="BE8">
        <f>Z8*(Z$1-$AF8)^2</f>
        <v>155.4107937292564</v>
      </c>
      <c r="BF8">
        <f>AA8*(AA$1-$AF8)^2</f>
        <v>725.37426735400038</v>
      </c>
      <c r="BG8">
        <f>AB8*(AB$1-$AF8)^2</f>
        <v>418.55267989548759</v>
      </c>
      <c r="BH8">
        <f>AC8*(AC$1-$AF8)^2</f>
        <v>1196.0455652849375</v>
      </c>
      <c r="BI8">
        <f>AD8*(AD$1-$AF8)^2</f>
        <v>271.14188616623119</v>
      </c>
      <c r="BJ8">
        <f>AE8*(AE$1-$AF8)^2</f>
        <v>305.07465927547491</v>
      </c>
      <c r="BK8">
        <f>SQRT(SUM(AG8:BJ8)/SUM(B8:AE8))</f>
        <v>7.1294250868539821</v>
      </c>
      <c r="BL8">
        <f>_xlfn.FLOOR.MATH((AF8-BK8)/5)</f>
        <v>1</v>
      </c>
    </row>
    <row r="9" spans="1:64">
      <c r="A9" t="s">
        <v>282</v>
      </c>
      <c r="B9">
        <v>77</v>
      </c>
      <c r="C9">
        <v>143</v>
      </c>
      <c r="D9">
        <v>325</v>
      </c>
      <c r="E9">
        <v>241</v>
      </c>
      <c r="F9">
        <v>117</v>
      </c>
      <c r="G9">
        <v>46</v>
      </c>
      <c r="H9">
        <v>31</v>
      </c>
      <c r="I9">
        <v>20</v>
      </c>
      <c r="J9">
        <v>11</v>
      </c>
      <c r="K9">
        <v>4</v>
      </c>
      <c r="L9">
        <v>3</v>
      </c>
      <c r="M9">
        <v>2</v>
      </c>
      <c r="N9">
        <v>3</v>
      </c>
      <c r="O9">
        <v>3</v>
      </c>
      <c r="P9">
        <v>2</v>
      </c>
      <c r="Q9">
        <v>1</v>
      </c>
      <c r="R9">
        <v>1</v>
      </c>
      <c r="S9">
        <v>3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f>SUMPRODUCT($B$1:$AE$1,B9:AE9)/SUM(B9:AE9)</f>
        <v>3.8230174081237913</v>
      </c>
      <c r="AG9">
        <f>B9*(B$1-$AF9)^2</f>
        <v>613.64590106588753</v>
      </c>
      <c r="AH9">
        <f>C9*(C$1-$AF9)^2</f>
        <v>475.24512325610118</v>
      </c>
      <c r="AI9">
        <f>D9*(D$1-$AF9)^2</f>
        <v>220.14123757431108</v>
      </c>
      <c r="AJ9">
        <f>E9*(E$1-$AF9)^2</f>
        <v>7.5488039163601757</v>
      </c>
      <c r="AK9">
        <f>F9*(F$1-$AF9)^2</f>
        <v>162.07869852481764</v>
      </c>
      <c r="AL9">
        <f>G9*(G$1-$AF9)^2</f>
        <v>218.00564744527452</v>
      </c>
      <c r="AM9">
        <f>H9*(H$1-$AF9)^2</f>
        <v>312.88977006161866</v>
      </c>
      <c r="AN9">
        <f>I9*(I$1-$AF9)^2</f>
        <v>348.94367145673789</v>
      </c>
      <c r="AO9">
        <f>J9*(J$1-$AF9)^2</f>
        <v>294.81263632248243</v>
      </c>
      <c r="AP9">
        <f>K9*(K$1-$AF9)^2</f>
        <v>152.62045576136691</v>
      </c>
      <c r="AQ9">
        <f>L9*(L$1-$AF9)^2</f>
        <v>154.52723737228246</v>
      </c>
      <c r="AR9">
        <f>M9*(M$1-$AF9)^2</f>
        <v>133.72608861569313</v>
      </c>
      <c r="AS9">
        <f>N9*(N$1-$AF9)^2</f>
        <v>252.65102847479696</v>
      </c>
      <c r="AT9">
        <f>O9*(O$1-$AF9)^2</f>
        <v>310.71292402605422</v>
      </c>
      <c r="AU9">
        <f>P9*(P$1-$AF9)^2</f>
        <v>249.84987971820763</v>
      </c>
      <c r="AV9">
        <f>Q9*(Q$1-$AF9)^2</f>
        <v>148.27890504285625</v>
      </c>
      <c r="AW9">
        <f>R9*(R$1-$AF9)^2</f>
        <v>173.63287022660865</v>
      </c>
      <c r="AX9">
        <f>S9*(S$1-$AF9)^2</f>
        <v>602.96050623108317</v>
      </c>
      <c r="AY9">
        <f>T9*(T$1-$AF9)^2</f>
        <v>230.34080059411349</v>
      </c>
      <c r="AZ9">
        <f>U9*(U$1-$AF9)^2</f>
        <v>0</v>
      </c>
      <c r="BA9">
        <f>V9*(V$1-$AF9)^2</f>
        <v>0</v>
      </c>
      <c r="BB9">
        <f>W9*(W$1-$AF9)^2</f>
        <v>0</v>
      </c>
      <c r="BC9">
        <f>X9*(X$1-$AF9)^2</f>
        <v>0</v>
      </c>
      <c r="BD9">
        <f>Y9*(Y$1-$AF9)^2</f>
        <v>0</v>
      </c>
      <c r="BE9">
        <f>Z9*(Z$1-$AF9)^2</f>
        <v>0</v>
      </c>
      <c r="BF9">
        <f>AA9*(AA$1-$AF9)^2</f>
        <v>0</v>
      </c>
      <c r="BG9">
        <f>AB9*(AB$1-$AF9)^2</f>
        <v>0</v>
      </c>
      <c r="BH9">
        <f>AC9*(AC$1-$AF9)^2</f>
        <v>0</v>
      </c>
      <c r="BI9">
        <f>AD9*(AD$1-$AF9)^2</f>
        <v>0</v>
      </c>
      <c r="BJ9">
        <f>AE9*(AE$1-$AF9)^2</f>
        <v>0</v>
      </c>
      <c r="BK9">
        <f>SQRT(SUM(AG9:BJ9)/SUM(B9:AE9))</f>
        <v>2.2127230538508846</v>
      </c>
      <c r="BL9">
        <f>_xlfn.FLOOR.MATH((AF9-BK9)/5)</f>
        <v>0</v>
      </c>
    </row>
    <row r="10" spans="1:64">
      <c r="A10" t="s">
        <v>283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1</v>
      </c>
      <c r="R10">
        <v>6</v>
      </c>
      <c r="S10">
        <v>8</v>
      </c>
      <c r="T10">
        <v>6</v>
      </c>
      <c r="U10">
        <v>5</v>
      </c>
      <c r="V10">
        <v>9</v>
      </c>
      <c r="W10">
        <v>7</v>
      </c>
      <c r="X10">
        <v>1</v>
      </c>
      <c r="Y10">
        <v>3</v>
      </c>
      <c r="Z10">
        <v>3</v>
      </c>
      <c r="AA10">
        <v>3</v>
      </c>
      <c r="AB10">
        <v>0</v>
      </c>
      <c r="AC10">
        <v>1</v>
      </c>
      <c r="AD10">
        <v>2</v>
      </c>
      <c r="AE10">
        <v>0</v>
      </c>
      <c r="AF10">
        <f>SUMPRODUCT($B$1:$AE$1,B10:AE10)/SUM(B10:AE10)</f>
        <v>20.596491228070175</v>
      </c>
      <c r="AG10">
        <f>B10*(B$1-$AF10)^2</f>
        <v>0</v>
      </c>
      <c r="AH10">
        <f>C10*(C$1-$AF10)^2</f>
        <v>0</v>
      </c>
      <c r="AI10">
        <f>D10*(D$1-$AF10)^2</f>
        <v>0</v>
      </c>
      <c r="AJ10">
        <f>E10*(E$1-$AF10)^2</f>
        <v>0</v>
      </c>
      <c r="AK10">
        <f>F10*(F$1-$AF10)^2</f>
        <v>0</v>
      </c>
      <c r="AL10">
        <f>G10*(G$1-$AF10)^2</f>
        <v>0</v>
      </c>
      <c r="AM10">
        <f>H10*(H$1-$AF10)^2</f>
        <v>0</v>
      </c>
      <c r="AN10">
        <f>I10*(I$1-$AF10)^2</f>
        <v>0</v>
      </c>
      <c r="AO10">
        <f>J10*(J$1-$AF10)^2</f>
        <v>0</v>
      </c>
      <c r="AP10">
        <f>K10*(K$1-$AF10)^2</f>
        <v>112.28562634656815</v>
      </c>
      <c r="AQ10">
        <f>L10*(L$1-$AF10)^2</f>
        <v>92.092643890427809</v>
      </c>
      <c r="AR10">
        <f>M10*(M$1-$AF10)^2</f>
        <v>0</v>
      </c>
      <c r="AS10">
        <f>N10*(N$1-$AF10)^2</f>
        <v>0</v>
      </c>
      <c r="AT10">
        <f>O10*(O$1-$AF10)^2</f>
        <v>0</v>
      </c>
      <c r="AU10">
        <f>P10*(P$1-$AF10)^2</f>
        <v>0</v>
      </c>
      <c r="AV10">
        <f>Q10*(Q$1-$AF10)^2</f>
        <v>21.127731609726062</v>
      </c>
      <c r="AW10">
        <f>R10*(R$1-$AF10)^2</f>
        <v>77.608494921514279</v>
      </c>
      <c r="AX10">
        <f>S10*(S$1-$AF10)^2</f>
        <v>53.934133579562911</v>
      </c>
      <c r="AY10">
        <f>T10*(T$1-$AF10)^2</f>
        <v>15.292705447830084</v>
      </c>
      <c r="AZ10">
        <f>U10*(U$1-$AF10)^2</f>
        <v>1.7790089258233255</v>
      </c>
      <c r="BA10">
        <f>V10*(V$1-$AF10)^2</f>
        <v>1.4653739612188426</v>
      </c>
      <c r="BB10">
        <f>W10*(W$1-$AF10)^2</f>
        <v>13.788858110187766</v>
      </c>
      <c r="BC10">
        <f>X10*(X$1-$AF10)^2</f>
        <v>5.7768544167436175</v>
      </c>
      <c r="BD10">
        <f>Y10*(Y$1-$AF10)^2</f>
        <v>34.751615881809805</v>
      </c>
      <c r="BE10">
        <f>Z10*(Z$1-$AF10)^2</f>
        <v>58.172668513388757</v>
      </c>
      <c r="BF10">
        <f>AA10*(AA$1-$AF10)^2</f>
        <v>87.593721144967702</v>
      </c>
      <c r="BG10">
        <f>AB10*(AB$1-$AF10)^2</f>
        <v>0</v>
      </c>
      <c r="BH10">
        <f>AC10*(AC$1-$AF10)^2</f>
        <v>54.811942136041871</v>
      </c>
      <c r="BI10">
        <f>AD10*(AD$1-$AF10)^2</f>
        <v>141.23791935980304</v>
      </c>
      <c r="BJ10">
        <f>AE10*(AE$1-$AF10)^2</f>
        <v>0</v>
      </c>
      <c r="BK10">
        <f>SQRT(SUM(AG10:BJ10)/SUM(B10:AE10))</f>
        <v>3.6795291895758346</v>
      </c>
      <c r="BL10">
        <f>_xlfn.FLOOR.MATH((AF10-BK10)/5)</f>
        <v>3</v>
      </c>
    </row>
    <row r="11" spans="1:64">
      <c r="A11" t="s">
        <v>284</v>
      </c>
      <c r="B11">
        <v>0</v>
      </c>
      <c r="C11">
        <v>0</v>
      </c>
      <c r="D11">
        <v>0</v>
      </c>
      <c r="E11">
        <v>0</v>
      </c>
      <c r="F11">
        <v>1</v>
      </c>
      <c r="G11">
        <v>1</v>
      </c>
      <c r="H11">
        <v>5</v>
      </c>
      <c r="I11">
        <v>33</v>
      </c>
      <c r="J11">
        <v>45</v>
      </c>
      <c r="K11">
        <v>59</v>
      </c>
      <c r="L11">
        <v>57</v>
      </c>
      <c r="M11">
        <v>64</v>
      </c>
      <c r="N11">
        <v>32</v>
      </c>
      <c r="O11">
        <v>31</v>
      </c>
      <c r="P11">
        <v>20</v>
      </c>
      <c r="Q11">
        <v>20</v>
      </c>
      <c r="R11">
        <v>12</v>
      </c>
      <c r="S11">
        <v>15</v>
      </c>
      <c r="T11">
        <v>21</v>
      </c>
      <c r="U11">
        <v>18</v>
      </c>
      <c r="V11">
        <v>10</v>
      </c>
      <c r="W11">
        <v>7</v>
      </c>
      <c r="X11">
        <v>10</v>
      </c>
      <c r="Y11">
        <v>11</v>
      </c>
      <c r="Z11">
        <v>6</v>
      </c>
      <c r="AA11">
        <v>3</v>
      </c>
      <c r="AB11">
        <v>2</v>
      </c>
      <c r="AC11">
        <v>1</v>
      </c>
      <c r="AD11">
        <v>1</v>
      </c>
      <c r="AE11">
        <v>1</v>
      </c>
      <c r="AF11">
        <f>SUMPRODUCT($B$1:$AE$1,B11:AE11)/SUM(B11:AE11)</f>
        <v>13.641975308641975</v>
      </c>
      <c r="AG11">
        <f>B11*(B$1-$AF11)^2</f>
        <v>0</v>
      </c>
      <c r="AH11">
        <f>C11*(C$1-$AF11)^2</f>
        <v>0</v>
      </c>
      <c r="AI11">
        <f>D11*(D$1-$AF11)^2</f>
        <v>0</v>
      </c>
      <c r="AJ11">
        <f>E11*(E$1-$AF11)^2</f>
        <v>0</v>
      </c>
      <c r="AK11">
        <f>F11*(F$1-$AF11)^2</f>
        <v>74.683737235177546</v>
      </c>
      <c r="AL11">
        <f>G11*(G$1-$AF11)^2</f>
        <v>58.399786617893604</v>
      </c>
      <c r="AM11">
        <f>H11*(H$1-$AF11)^2</f>
        <v>220.57918000304826</v>
      </c>
      <c r="AN11">
        <f>I11*(I$1-$AF11)^2</f>
        <v>1050.4522176497483</v>
      </c>
      <c r="AO11">
        <f>J11*(J$1-$AF11)^2</f>
        <v>969.65706447187904</v>
      </c>
      <c r="AP11">
        <f>K11*(K$1-$AF11)^2</f>
        <v>782.57506477671063</v>
      </c>
      <c r="AQ11">
        <f>L11*(L$1-$AF11)^2</f>
        <v>397.86191129400981</v>
      </c>
      <c r="AR11">
        <f>M11*(M$1-$AF11)^2</f>
        <v>172.5493065081541</v>
      </c>
      <c r="AS11">
        <f>N11*(N$1-$AF11)^2</f>
        <v>13.188233500990673</v>
      </c>
      <c r="AT11">
        <f>O11*(O$1-$AF11)^2</f>
        <v>3.9736320682822899</v>
      </c>
      <c r="AU11">
        <f>P11*(P$1-$AF11)^2</f>
        <v>36.884621246761206</v>
      </c>
      <c r="AV11">
        <f>Q11*(Q$1-$AF11)^2</f>
        <v>111.20560890108221</v>
      </c>
      <c r="AW11">
        <f>R11*(R$1-$AF11)^2</f>
        <v>135.31595793324195</v>
      </c>
      <c r="AX11">
        <f>S11*(S$1-$AF11)^2</f>
        <v>284.8856881572932</v>
      </c>
      <c r="AY11">
        <f>T11*(T$1-$AF11)^2</f>
        <v>602.8770004572475</v>
      </c>
      <c r="AZ11">
        <f>U11*(U$1-$AF11)^2</f>
        <v>727.64060356652965</v>
      </c>
      <c r="BA11">
        <f>V11*(V$1-$AF11)^2</f>
        <v>541.4052735863437</v>
      </c>
      <c r="BB11">
        <f>W11*(W$1-$AF11)^2</f>
        <v>488.99603718945286</v>
      </c>
      <c r="BC11">
        <f>X11*(X$1-$AF11)^2</f>
        <v>875.7262612406646</v>
      </c>
      <c r="BD11">
        <f>Y11*(Y$1-$AF11)^2</f>
        <v>1180.1754305746076</v>
      </c>
      <c r="BE11">
        <f>Z11*(Z$1-$AF11)^2</f>
        <v>774.02834933699137</v>
      </c>
      <c r="BF11">
        <f>AA11*(AA$1-$AF11)^2</f>
        <v>458.16232281664384</v>
      </c>
      <c r="BG11">
        <f>AB11*(AB$1-$AF11)^2</f>
        <v>356.87364730986133</v>
      </c>
      <c r="BH11">
        <f>AC11*(AC$1-$AF11)^2</f>
        <v>206.15287303764671</v>
      </c>
      <c r="BI11">
        <f>AD11*(AD$1-$AF11)^2</f>
        <v>235.86892242036276</v>
      </c>
      <c r="BJ11">
        <f>AE11*(AE$1-$AF11)^2</f>
        <v>267.58497180307882</v>
      </c>
      <c r="BK11">
        <f>SQRT(SUM(AG11:BJ11)/SUM(B11:AE11))</f>
        <v>4.7634806981376814</v>
      </c>
      <c r="BL11">
        <f>_xlfn.FLOOR.MATH((AF11-BK11)/5)</f>
        <v>1</v>
      </c>
    </row>
    <row r="12" spans="1:64">
      <c r="A12" t="s">
        <v>285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2</v>
      </c>
      <c r="W12">
        <v>0</v>
      </c>
      <c r="X12">
        <v>0</v>
      </c>
      <c r="Y12">
        <v>1</v>
      </c>
      <c r="Z12">
        <v>0</v>
      </c>
      <c r="AA12">
        <v>1</v>
      </c>
      <c r="AB12">
        <v>0</v>
      </c>
      <c r="AC12">
        <v>0</v>
      </c>
      <c r="AD12">
        <v>0</v>
      </c>
      <c r="AE12">
        <v>0</v>
      </c>
      <c r="AF12">
        <f>SUMPRODUCT($B$1:$AE$1,B12:AE12)/SUM(B12:AE12)</f>
        <v>22</v>
      </c>
      <c r="AG12">
        <f>B12*(B$1-$AF12)^2</f>
        <v>0</v>
      </c>
      <c r="AH12">
        <f>C12*(C$1-$AF12)^2</f>
        <v>0</v>
      </c>
      <c r="AI12">
        <f>D12*(D$1-$AF12)^2</f>
        <v>0</v>
      </c>
      <c r="AJ12">
        <f>E12*(E$1-$AF12)^2</f>
        <v>0</v>
      </c>
      <c r="AK12">
        <f>F12*(F$1-$AF12)^2</f>
        <v>0</v>
      </c>
      <c r="AL12">
        <f>G12*(G$1-$AF12)^2</f>
        <v>0</v>
      </c>
      <c r="AM12">
        <f>H12*(H$1-$AF12)^2</f>
        <v>0</v>
      </c>
      <c r="AN12">
        <f>I12*(I$1-$AF12)^2</f>
        <v>0</v>
      </c>
      <c r="AO12">
        <f>J12*(J$1-$AF12)^2</f>
        <v>0</v>
      </c>
      <c r="AP12">
        <f>K12*(K$1-$AF12)^2</f>
        <v>0</v>
      </c>
      <c r="AQ12">
        <f>L12*(L$1-$AF12)^2</f>
        <v>0</v>
      </c>
      <c r="AR12">
        <f>M12*(M$1-$AF12)^2</f>
        <v>0</v>
      </c>
      <c r="AS12">
        <f>N12*(N$1-$AF12)^2</f>
        <v>0</v>
      </c>
      <c r="AT12">
        <f>O12*(O$1-$AF12)^2</f>
        <v>0</v>
      </c>
      <c r="AU12">
        <f>P12*(P$1-$AF12)^2</f>
        <v>0</v>
      </c>
      <c r="AV12">
        <f>Q12*(Q$1-$AF12)^2</f>
        <v>0</v>
      </c>
      <c r="AW12">
        <f>R12*(R$1-$AF12)^2</f>
        <v>0</v>
      </c>
      <c r="AX12">
        <f>S12*(S$1-$AF12)^2</f>
        <v>16</v>
      </c>
      <c r="AY12">
        <f>T12*(T$1-$AF12)^2</f>
        <v>0</v>
      </c>
      <c r="AZ12">
        <f>U12*(U$1-$AF12)^2</f>
        <v>0</v>
      </c>
      <c r="BA12">
        <f>V12*(V$1-$AF12)^2</f>
        <v>2</v>
      </c>
      <c r="BB12">
        <f>W12*(W$1-$AF12)^2</f>
        <v>0</v>
      </c>
      <c r="BC12">
        <f>X12*(X$1-$AF12)^2</f>
        <v>0</v>
      </c>
      <c r="BD12">
        <f>Y12*(Y$1-$AF12)^2</f>
        <v>4</v>
      </c>
      <c r="BE12">
        <f>Z12*(Z$1-$AF12)^2</f>
        <v>0</v>
      </c>
      <c r="BF12">
        <f>AA12*(AA$1-$AF12)^2</f>
        <v>16</v>
      </c>
      <c r="BG12">
        <f>AB12*(AB$1-$AF12)^2</f>
        <v>0</v>
      </c>
      <c r="BH12">
        <f>AC12*(AC$1-$AF12)^2</f>
        <v>0</v>
      </c>
      <c r="BI12">
        <f>AD12*(AD$1-$AF12)^2</f>
        <v>0</v>
      </c>
      <c r="BJ12">
        <f>AE12*(AE$1-$AF12)^2</f>
        <v>0</v>
      </c>
      <c r="BK12">
        <f>SQRT(SUM(AG12:BJ12)/SUM(B12:AE12))</f>
        <v>2.7568097504180442</v>
      </c>
      <c r="BL12">
        <f>_xlfn.FLOOR.MATH((AF12-BK12)/5)</f>
        <v>3</v>
      </c>
    </row>
    <row r="13" spans="1:64">
      <c r="A13" t="s">
        <v>286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3</v>
      </c>
      <c r="O13">
        <v>2</v>
      </c>
      <c r="P13">
        <v>3</v>
      </c>
      <c r="Q13">
        <v>5</v>
      </c>
      <c r="R13">
        <v>2</v>
      </c>
      <c r="S13">
        <v>2</v>
      </c>
      <c r="T13">
        <v>1</v>
      </c>
      <c r="U13">
        <v>5</v>
      </c>
      <c r="V13">
        <v>8</v>
      </c>
      <c r="W13">
        <v>3</v>
      </c>
      <c r="X13">
        <v>0</v>
      </c>
      <c r="Y13">
        <v>1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f>SUMPRODUCT($B$1:$AE$1,B13:AE13)/SUM(B13:AE13)</f>
        <v>17.763157894736842</v>
      </c>
      <c r="AG13">
        <f>B13*(B$1-$AF13)^2</f>
        <v>0</v>
      </c>
      <c r="AH13">
        <f>C13*(C$1-$AF13)^2</f>
        <v>0</v>
      </c>
      <c r="AI13">
        <f>D13*(D$1-$AF13)^2</f>
        <v>0</v>
      </c>
      <c r="AJ13">
        <f>E13*(E$1-$AF13)^2</f>
        <v>0</v>
      </c>
      <c r="AK13">
        <f>F13*(F$1-$AF13)^2</f>
        <v>0</v>
      </c>
      <c r="AL13">
        <f>G13*(G$1-$AF13)^2</f>
        <v>0</v>
      </c>
      <c r="AM13">
        <f>H13*(H$1-$AF13)^2</f>
        <v>0</v>
      </c>
      <c r="AN13">
        <f>I13*(I$1-$AF13)^2</f>
        <v>0</v>
      </c>
      <c r="AO13">
        <f>J13*(J$1-$AF13)^2</f>
        <v>0</v>
      </c>
      <c r="AP13">
        <f>K13*(K$1-$AF13)^2</f>
        <v>0</v>
      </c>
      <c r="AQ13">
        <f>L13*(L$1-$AF13)^2</f>
        <v>0</v>
      </c>
      <c r="AR13">
        <f>M13*(M$1-$AF13)^2</f>
        <v>99.64196675900277</v>
      </c>
      <c r="AS13">
        <f>N13*(N$1-$AF13)^2</f>
        <v>68.063019390581729</v>
      </c>
      <c r="AT13">
        <f>O13*(O$1-$AF13)^2</f>
        <v>28.322714681440448</v>
      </c>
      <c r="AU13">
        <f>P13*(P$1-$AF13)^2</f>
        <v>22.90512465373962</v>
      </c>
      <c r="AV13">
        <f>Q13*(Q$1-$AF13)^2</f>
        <v>15.543628808864272</v>
      </c>
      <c r="AW13">
        <f>R13*(R$1-$AF13)^2</f>
        <v>1.1648199445983392</v>
      </c>
      <c r="AX13">
        <f>S13*(S$1-$AF13)^2</f>
        <v>0.11218836565096918</v>
      </c>
      <c r="AY13">
        <f>T13*(T$1-$AF13)^2</f>
        <v>1.5297783933517997</v>
      </c>
      <c r="AZ13">
        <f>U13*(U$1-$AF13)^2</f>
        <v>25.017313019390571</v>
      </c>
      <c r="BA13">
        <f>V13*(V$1-$AF13)^2</f>
        <v>83.817174515235436</v>
      </c>
      <c r="BB13">
        <f>W13*(W$1-$AF13)^2</f>
        <v>53.852493074792235</v>
      </c>
      <c r="BC13">
        <f>X13*(X$1-$AF13)^2</f>
        <v>0</v>
      </c>
      <c r="BD13">
        <f>Y13*(Y$1-$AF13)^2</f>
        <v>38.898199445983373</v>
      </c>
      <c r="BE13">
        <f>Z13*(Z$1-$AF13)^2</f>
        <v>0</v>
      </c>
      <c r="BF13">
        <f>AA13*(AA$1-$AF13)^2</f>
        <v>0</v>
      </c>
      <c r="BG13">
        <f>AB13*(AB$1-$AF13)^2</f>
        <v>0</v>
      </c>
      <c r="BH13">
        <f>AC13*(AC$1-$AF13)^2</f>
        <v>0</v>
      </c>
      <c r="BI13">
        <f>AD13*(AD$1-$AF13)^2</f>
        <v>0</v>
      </c>
      <c r="BJ13">
        <f>AE13*(AE$1-$AF13)^2</f>
        <v>0</v>
      </c>
      <c r="BK13">
        <f>SQRT(SUM(AG13:BJ13)/SUM(B13:AE13))</f>
        <v>3.3984068289522447</v>
      </c>
      <c r="BL13">
        <f>_xlfn.FLOOR.MATH((AF13-BK13)/5)</f>
        <v>2</v>
      </c>
    </row>
    <row r="14" spans="1:64">
      <c r="A14" t="s">
        <v>287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2</v>
      </c>
      <c r="U14">
        <v>3</v>
      </c>
      <c r="V14">
        <v>6</v>
      </c>
      <c r="W14">
        <v>3</v>
      </c>
      <c r="X14">
        <v>1</v>
      </c>
      <c r="Y14">
        <v>5</v>
      </c>
      <c r="Z14">
        <v>4</v>
      </c>
      <c r="AA14">
        <v>0</v>
      </c>
      <c r="AB14">
        <v>0</v>
      </c>
      <c r="AC14">
        <v>0</v>
      </c>
      <c r="AD14">
        <v>0</v>
      </c>
      <c r="AE14">
        <v>0</v>
      </c>
      <c r="AF14">
        <f>SUMPRODUCT($B$1:$AE$1,B14:AE14)/SUM(B14:AE14)</f>
        <v>22</v>
      </c>
      <c r="AG14">
        <f>B14*(B$1-$AF14)^2</f>
        <v>0</v>
      </c>
      <c r="AH14">
        <f>C14*(C$1-$AF14)^2</f>
        <v>0</v>
      </c>
      <c r="AI14">
        <f>D14*(D$1-$AF14)^2</f>
        <v>0</v>
      </c>
      <c r="AJ14">
        <f>E14*(E$1-$AF14)^2</f>
        <v>0</v>
      </c>
      <c r="AK14">
        <f>F14*(F$1-$AF14)^2</f>
        <v>0</v>
      </c>
      <c r="AL14">
        <f>G14*(G$1-$AF14)^2</f>
        <v>0</v>
      </c>
      <c r="AM14">
        <f>H14*(H$1-$AF14)^2</f>
        <v>0</v>
      </c>
      <c r="AN14">
        <f>I14*(I$1-$AF14)^2</f>
        <v>0</v>
      </c>
      <c r="AO14">
        <f>J14*(J$1-$AF14)^2</f>
        <v>0</v>
      </c>
      <c r="AP14">
        <f>K14*(K$1-$AF14)^2</f>
        <v>0</v>
      </c>
      <c r="AQ14">
        <f>L14*(L$1-$AF14)^2</f>
        <v>0</v>
      </c>
      <c r="AR14">
        <f>M14*(M$1-$AF14)^2</f>
        <v>0</v>
      </c>
      <c r="AS14">
        <f>N14*(N$1-$AF14)^2</f>
        <v>0</v>
      </c>
      <c r="AT14">
        <f>O14*(O$1-$AF14)^2</f>
        <v>0</v>
      </c>
      <c r="AU14">
        <f>P14*(P$1-$AF14)^2</f>
        <v>0</v>
      </c>
      <c r="AV14">
        <f>Q14*(Q$1-$AF14)^2</f>
        <v>0</v>
      </c>
      <c r="AW14">
        <f>R14*(R$1-$AF14)^2</f>
        <v>25</v>
      </c>
      <c r="AX14">
        <f>S14*(S$1-$AF14)^2</f>
        <v>0</v>
      </c>
      <c r="AY14">
        <f>T14*(T$1-$AF14)^2</f>
        <v>18</v>
      </c>
      <c r="AZ14">
        <f>U14*(U$1-$AF14)^2</f>
        <v>12</v>
      </c>
      <c r="BA14">
        <f>V14*(V$1-$AF14)^2</f>
        <v>6</v>
      </c>
      <c r="BB14">
        <f>W14*(W$1-$AF14)^2</f>
        <v>0</v>
      </c>
      <c r="BC14">
        <f>X14*(X$1-$AF14)^2</f>
        <v>1</v>
      </c>
      <c r="BD14">
        <f>Y14*(Y$1-$AF14)^2</f>
        <v>20</v>
      </c>
      <c r="BE14">
        <f>Z14*(Z$1-$AF14)^2</f>
        <v>36</v>
      </c>
      <c r="BF14">
        <f>AA14*(AA$1-$AF14)^2</f>
        <v>0</v>
      </c>
      <c r="BG14">
        <f>AB14*(AB$1-$AF14)^2</f>
        <v>0</v>
      </c>
      <c r="BH14">
        <f>AC14*(AC$1-$AF14)^2</f>
        <v>0</v>
      </c>
      <c r="BI14">
        <f>AD14*(AD$1-$AF14)^2</f>
        <v>0</v>
      </c>
      <c r="BJ14">
        <f>AE14*(AE$1-$AF14)^2</f>
        <v>0</v>
      </c>
      <c r="BK14">
        <f>SQRT(SUM(AG14:BJ14)/SUM(B14:AE14))</f>
        <v>2.1725560982400429</v>
      </c>
      <c r="BL14">
        <f>_xlfn.FLOOR.MATH((AF14-BK14)/5)</f>
        <v>3</v>
      </c>
    </row>
    <row r="15" spans="1:64">
      <c r="A15" t="s">
        <v>288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4</v>
      </c>
      <c r="I15">
        <v>8</v>
      </c>
      <c r="J15">
        <v>65</v>
      </c>
      <c r="K15">
        <v>92</v>
      </c>
      <c r="L15">
        <v>108</v>
      </c>
      <c r="M15">
        <v>117</v>
      </c>
      <c r="N15">
        <v>104</v>
      </c>
      <c r="O15">
        <v>85</v>
      </c>
      <c r="P15">
        <v>69</v>
      </c>
      <c r="Q15">
        <v>71</v>
      </c>
      <c r="R15">
        <v>43</v>
      </c>
      <c r="S15">
        <v>25</v>
      </c>
      <c r="T15">
        <v>39</v>
      </c>
      <c r="U15">
        <v>16</v>
      </c>
      <c r="V15">
        <v>28</v>
      </c>
      <c r="W15">
        <v>10</v>
      </c>
      <c r="X15">
        <v>17</v>
      </c>
      <c r="Y15">
        <v>3</v>
      </c>
      <c r="Z15">
        <v>5</v>
      </c>
      <c r="AA15">
        <v>5</v>
      </c>
      <c r="AB15">
        <v>6</v>
      </c>
      <c r="AC15">
        <v>1</v>
      </c>
      <c r="AD15">
        <v>1</v>
      </c>
      <c r="AE15">
        <v>0</v>
      </c>
      <c r="AF15">
        <f>SUMPRODUCT($B$1:$AE$1,B15:AE15)/SUM(B15:AE15)</f>
        <v>13.979392624728851</v>
      </c>
      <c r="AG15">
        <f>B15*(B$1-$AF15)^2</f>
        <v>0</v>
      </c>
      <c r="AH15">
        <f>C15*(C$1-$AF15)^2</f>
        <v>0</v>
      </c>
      <c r="AI15">
        <f>D15*(D$1-$AF15)^2</f>
        <v>0</v>
      </c>
      <c r="AJ15">
        <f>E15*(E$1-$AF15)^2</f>
        <v>0</v>
      </c>
      <c r="AK15">
        <f>F15*(F$1-$AF15)^2</f>
        <v>0</v>
      </c>
      <c r="AL15">
        <f>G15*(G$1-$AF15)^2</f>
        <v>0</v>
      </c>
      <c r="AM15">
        <f>H15*(H$1-$AF15)^2</f>
        <v>194.84768564047789</v>
      </c>
      <c r="AN15">
        <f>I15*(I$1-$AF15)^2</f>
        <v>286.0250892852942</v>
      </c>
      <c r="AO15">
        <f>J15*(J$1-$AF15)^2</f>
        <v>1611.6328092282647</v>
      </c>
      <c r="AP15">
        <f>K15*(K$1-$AF15)^2</f>
        <v>1456.8720408806662</v>
      </c>
      <c r="AQ15">
        <f>L15*(L$1-$AF15)^2</f>
        <v>958.69228452717641</v>
      </c>
      <c r="AR15">
        <f>M15*(M$1-$AF15)^2</f>
        <v>458.40543405122332</v>
      </c>
      <c r="AS15">
        <f>N15*(N$1-$AF15)^2</f>
        <v>99.757830990819798</v>
      </c>
      <c r="AT15">
        <f>O15*(O$1-$AF15)^2</f>
        <v>3.6096432823107961E-2</v>
      </c>
      <c r="AU15">
        <f>P15*(P$1-$AF15)^2</f>
        <v>71.873119597592662</v>
      </c>
      <c r="AV15">
        <f>Q15*(Q$1-$AF15)^2</f>
        <v>289.88264571501156</v>
      </c>
      <c r="AW15">
        <f>R15*(R$1-$AF15)^2</f>
        <v>392.33496336832587</v>
      </c>
      <c r="AX15">
        <f>S15*(S$1-$AF15)^2</f>
        <v>404.13209165211902</v>
      </c>
      <c r="AY15">
        <f>T15*(T$1-$AF15)^2</f>
        <v>983.05343824845534</v>
      </c>
      <c r="AZ15">
        <f>U15*(U$1-$AF15)^2</f>
        <v>579.96341067470973</v>
      </c>
      <c r="BA15">
        <f>V15*(V$1-$AF15)^2</f>
        <v>1380.0899816959263</v>
      </c>
      <c r="BB15">
        <f>W15*(W$1-$AF15)^2</f>
        <v>643.30142668253961</v>
      </c>
      <c r="BC15">
        <f>X15*(X$1-$AF15)^2</f>
        <v>1383.3130761195362</v>
      </c>
      <c r="BD15">
        <f>Y15*(Y$1-$AF15)^2</f>
        <v>301.23771650801564</v>
      </c>
      <c r="BE15">
        <f>Z15*(Z$1-$AF15)^2</f>
        <v>607.26893459940425</v>
      </c>
      <c r="BF15">
        <f>AA15*(AA$1-$AF15)^2</f>
        <v>722.47500835211565</v>
      </c>
      <c r="BG15">
        <f>AB15*(AB$1-$AF15)^2</f>
        <v>1017.2172985257927</v>
      </c>
      <c r="BH15">
        <f>AC15*(AC$1-$AF15)^2</f>
        <v>196.57743117150775</v>
      </c>
      <c r="BI15">
        <f>AD15*(AD$1-$AF15)^2</f>
        <v>225.61864592205004</v>
      </c>
      <c r="BJ15">
        <f>AE15*(AE$1-$AF15)^2</f>
        <v>0</v>
      </c>
      <c r="BK15">
        <f>SQRT(SUM(AG15:BJ15)/SUM(B15:AE15))</f>
        <v>3.9333669762588785</v>
      </c>
      <c r="BL15">
        <f>_xlfn.FLOOR.MATH((AF15-BK15)/5)</f>
        <v>2</v>
      </c>
    </row>
    <row r="16" spans="1:64">
      <c r="A16" t="s">
        <v>289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2</v>
      </c>
      <c r="S16">
        <v>8</v>
      </c>
      <c r="T16">
        <v>3</v>
      </c>
      <c r="U16">
        <v>4</v>
      </c>
      <c r="V16">
        <v>5</v>
      </c>
      <c r="W16">
        <v>7</v>
      </c>
      <c r="X16">
        <v>5</v>
      </c>
      <c r="Y16">
        <v>3</v>
      </c>
      <c r="Z16">
        <v>3</v>
      </c>
      <c r="AA16">
        <v>1</v>
      </c>
      <c r="AB16">
        <v>1</v>
      </c>
      <c r="AC16">
        <v>1</v>
      </c>
      <c r="AD16">
        <v>1</v>
      </c>
      <c r="AE16">
        <v>1</v>
      </c>
      <c r="AF16">
        <f>SUMPRODUCT($B$1:$AE$1,B16:AE16)/SUM(B16:AE16)</f>
        <v>21.68888888888889</v>
      </c>
      <c r="AG16">
        <f>B16*(B$1-$AF16)^2</f>
        <v>0</v>
      </c>
      <c r="AH16">
        <f>C16*(C$1-$AF16)^2</f>
        <v>0</v>
      </c>
      <c r="AI16">
        <f>D16*(D$1-$AF16)^2</f>
        <v>0</v>
      </c>
      <c r="AJ16">
        <f>E16*(E$1-$AF16)^2</f>
        <v>0</v>
      </c>
      <c r="AK16">
        <f>F16*(F$1-$AF16)^2</f>
        <v>0</v>
      </c>
      <c r="AL16">
        <f>G16*(G$1-$AF16)^2</f>
        <v>0</v>
      </c>
      <c r="AM16">
        <f>H16*(H$1-$AF16)^2</f>
        <v>0</v>
      </c>
      <c r="AN16">
        <f>I16*(I$1-$AF16)^2</f>
        <v>0</v>
      </c>
      <c r="AO16">
        <f>J16*(J$1-$AF16)^2</f>
        <v>0</v>
      </c>
      <c r="AP16">
        <f>K16*(K$1-$AF16)^2</f>
        <v>0</v>
      </c>
      <c r="AQ16">
        <f>L16*(L$1-$AF16)^2</f>
        <v>0</v>
      </c>
      <c r="AR16">
        <f>M16*(M$1-$AF16)^2</f>
        <v>0</v>
      </c>
      <c r="AS16">
        <f>N16*(N$1-$AF16)^2</f>
        <v>0</v>
      </c>
      <c r="AT16">
        <f>O16*(O$1-$AF16)^2</f>
        <v>0</v>
      </c>
      <c r="AU16">
        <f>P16*(P$1-$AF16)^2</f>
        <v>0</v>
      </c>
      <c r="AV16">
        <f>Q16*(Q$1-$AF16)^2</f>
        <v>0</v>
      </c>
      <c r="AW16">
        <f>R16*(R$1-$AF16)^2</f>
        <v>43.971358024691376</v>
      </c>
      <c r="AX16">
        <f>S16*(S$1-$AF16)^2</f>
        <v>108.86320987654328</v>
      </c>
      <c r="AY16">
        <f>T16*(T$1-$AF16)^2</f>
        <v>21.690370370370388</v>
      </c>
      <c r="AZ16">
        <f>U16*(U$1-$AF16)^2</f>
        <v>11.409382716049398</v>
      </c>
      <c r="BA16">
        <f>V16*(V$1-$AF16)^2</f>
        <v>2.3728395061728471</v>
      </c>
      <c r="BB16">
        <f>W16*(W$1-$AF16)^2</f>
        <v>0.67753086419752606</v>
      </c>
      <c r="BC16">
        <f>X16*(X$1-$AF16)^2</f>
        <v>8.5950617283950468</v>
      </c>
      <c r="BD16">
        <f>Y16*(Y$1-$AF16)^2</f>
        <v>16.023703703703688</v>
      </c>
      <c r="BE16">
        <f>Z16*(Z$1-$AF16)^2</f>
        <v>32.890370370370348</v>
      </c>
      <c r="BF16">
        <f>AA16*(AA$1-$AF16)^2</f>
        <v>18.585679012345668</v>
      </c>
      <c r="BG16">
        <f>AB16*(AB$1-$AF16)^2</f>
        <v>28.207901234567888</v>
      </c>
      <c r="BH16">
        <f>AC16*(AC$1-$AF16)^2</f>
        <v>39.830123456790112</v>
      </c>
      <c r="BI16">
        <f>AD16*(AD$1-$AF16)^2</f>
        <v>53.452345679012332</v>
      </c>
      <c r="BJ16">
        <f>AE16*(AE$1-$AF16)^2</f>
        <v>69.074567901234545</v>
      </c>
      <c r="BK16">
        <f>SQRT(SUM(AG16:BJ16)/SUM(B16:AE16))</f>
        <v>3.1820484123855555</v>
      </c>
      <c r="BL16">
        <f>_xlfn.FLOOR.MATH((AF16-BK16)/5)</f>
        <v>3</v>
      </c>
    </row>
    <row r="17" spans="1:64">
      <c r="A17" t="s">
        <v>290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4</v>
      </c>
      <c r="U17">
        <v>1</v>
      </c>
      <c r="V17">
        <v>0</v>
      </c>
      <c r="W17">
        <v>1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f>SUMPRODUCT($B$1:$AE$1,B17:AE17)/SUM(B17:AE17)</f>
        <v>19.555555555555557</v>
      </c>
      <c r="AG17">
        <f>B17*(B$1-$AF17)^2</f>
        <v>0</v>
      </c>
      <c r="AH17">
        <f>C17*(C$1-$AF17)^2</f>
        <v>0</v>
      </c>
      <c r="AI17">
        <f>D17*(D$1-$AF17)^2</f>
        <v>0</v>
      </c>
      <c r="AJ17">
        <f>E17*(E$1-$AF17)^2</f>
        <v>0</v>
      </c>
      <c r="AK17">
        <f>F17*(F$1-$AF17)^2</f>
        <v>0</v>
      </c>
      <c r="AL17">
        <f>G17*(G$1-$AF17)^2</f>
        <v>0</v>
      </c>
      <c r="AM17">
        <f>H17*(H$1-$AF17)^2</f>
        <v>0</v>
      </c>
      <c r="AN17">
        <f>I17*(I$1-$AF17)^2</f>
        <v>0</v>
      </c>
      <c r="AO17">
        <f>J17*(J$1-$AF17)^2</f>
        <v>0</v>
      </c>
      <c r="AP17">
        <f>K17*(K$1-$AF17)^2</f>
        <v>0</v>
      </c>
      <c r="AQ17">
        <f>L17*(L$1-$AF17)^2</f>
        <v>0</v>
      </c>
      <c r="AR17">
        <f>M17*(M$1-$AF17)^2</f>
        <v>0</v>
      </c>
      <c r="AS17">
        <f>N17*(N$1-$AF17)^2</f>
        <v>0</v>
      </c>
      <c r="AT17">
        <f>O17*(O$1-$AF17)^2</f>
        <v>0</v>
      </c>
      <c r="AU17">
        <f>P17*(P$1-$AF17)^2</f>
        <v>0</v>
      </c>
      <c r="AV17">
        <f>Q17*(Q$1-$AF17)^2</f>
        <v>0</v>
      </c>
      <c r="AW17">
        <f>R17*(R$1-$AF17)^2</f>
        <v>6.5308641975308719</v>
      </c>
      <c r="AX17">
        <f>S17*(S$1-$AF17)^2</f>
        <v>2.4197530864197581</v>
      </c>
      <c r="AY17">
        <f>T17*(T$1-$AF17)^2</f>
        <v>1.2345679012345749</v>
      </c>
      <c r="AZ17">
        <f>U17*(U$1-$AF17)^2</f>
        <v>0.19753086419752947</v>
      </c>
      <c r="BA17">
        <f>V17*(V$1-$AF17)^2</f>
        <v>0</v>
      </c>
      <c r="BB17">
        <f>W17*(W$1-$AF17)^2</f>
        <v>5.9753086419753005</v>
      </c>
      <c r="BC17">
        <f>X17*(X$1-$AF17)^2</f>
        <v>11.864197530864187</v>
      </c>
      <c r="BD17">
        <f>Y17*(Y$1-$AF17)^2</f>
        <v>0</v>
      </c>
      <c r="BE17">
        <f>Z17*(Z$1-$AF17)^2</f>
        <v>0</v>
      </c>
      <c r="BF17">
        <f>AA17*(AA$1-$AF17)^2</f>
        <v>0</v>
      </c>
      <c r="BG17">
        <f>AB17*(AB$1-$AF17)^2</f>
        <v>0</v>
      </c>
      <c r="BH17">
        <f>AC17*(AC$1-$AF17)^2</f>
        <v>0</v>
      </c>
      <c r="BI17">
        <f>AD17*(AD$1-$AF17)^2</f>
        <v>0</v>
      </c>
      <c r="BJ17">
        <f>AE17*(AE$1-$AF17)^2</f>
        <v>0</v>
      </c>
      <c r="BK17">
        <f>SQRT(SUM(AG17:BJ17)/SUM(B17:AE17))</f>
        <v>1.7708197167232473</v>
      </c>
      <c r="BL17">
        <f>_xlfn.FLOOR.MATH((AF17-BK17)/5)</f>
        <v>3</v>
      </c>
    </row>
    <row r="18" spans="1:64">
      <c r="A18" t="s">
        <v>291</v>
      </c>
      <c r="B18">
        <v>0</v>
      </c>
      <c r="C18">
        <v>0</v>
      </c>
      <c r="D18">
        <v>0</v>
      </c>
      <c r="E18">
        <v>0</v>
      </c>
      <c r="F18">
        <v>1</v>
      </c>
      <c r="G18">
        <v>8</v>
      </c>
      <c r="H18">
        <v>19</v>
      </c>
      <c r="I18">
        <v>32</v>
      </c>
      <c r="J18">
        <v>41</v>
      </c>
      <c r="K18">
        <v>46</v>
      </c>
      <c r="L18">
        <v>47</v>
      </c>
      <c r="M18">
        <v>70</v>
      </c>
      <c r="N18">
        <v>50</v>
      </c>
      <c r="O18">
        <v>82</v>
      </c>
      <c r="P18">
        <v>59</v>
      </c>
      <c r="Q18">
        <v>80</v>
      </c>
      <c r="R18">
        <v>61</v>
      </c>
      <c r="S18">
        <v>83</v>
      </c>
      <c r="T18">
        <v>92</v>
      </c>
      <c r="U18">
        <v>59</v>
      </c>
      <c r="V18">
        <v>65</v>
      </c>
      <c r="W18">
        <v>68</v>
      </c>
      <c r="X18">
        <v>44</v>
      </c>
      <c r="Y18">
        <v>44</v>
      </c>
      <c r="Z18">
        <v>24</v>
      </c>
      <c r="AA18">
        <v>19</v>
      </c>
      <c r="AB18">
        <v>9</v>
      </c>
      <c r="AC18">
        <v>6</v>
      </c>
      <c r="AD18">
        <v>2</v>
      </c>
      <c r="AE18">
        <v>1</v>
      </c>
      <c r="AF18">
        <f>SUMPRODUCT($B$1:$AE$1,B18:AE18)/SUM(B18:AE18)</f>
        <v>16.701438848920862</v>
      </c>
      <c r="AG18">
        <f>B18*(B$1-$AF18)^2</f>
        <v>0</v>
      </c>
      <c r="AH18">
        <f>C18*(C$1-$AF18)^2</f>
        <v>0</v>
      </c>
      <c r="AI18">
        <f>D18*(D$1-$AF18)^2</f>
        <v>0</v>
      </c>
      <c r="AJ18">
        <f>E18*(E$1-$AF18)^2</f>
        <v>0</v>
      </c>
      <c r="AK18">
        <f>F18*(F$1-$AF18)^2</f>
        <v>136.9236711350344</v>
      </c>
      <c r="AL18">
        <f>G18*(G$1-$AF18)^2</f>
        <v>916.16634749754132</v>
      </c>
      <c r="AM18">
        <f>H18*(H$1-$AF18)^2</f>
        <v>1788.2403990476678</v>
      </c>
      <c r="AN18">
        <f>I18*(I$1-$AF18)^2</f>
        <v>2422.881217328295</v>
      </c>
      <c r="AO18">
        <f>J18*(J$1-$AF18)^2</f>
        <v>2431.7985740903673</v>
      </c>
      <c r="AP18">
        <f>K18*(K$1-$AF18)^2</f>
        <v>2065.8270017079853</v>
      </c>
      <c r="AQ18">
        <f>L18*(L$1-$AF18)^2</f>
        <v>1527.80103255525</v>
      </c>
      <c r="AR18">
        <f>M18*(M$1-$AF18)^2</f>
        <v>1547.2469075099625</v>
      </c>
      <c r="AS18">
        <f>N18*(N$1-$AF18)^2</f>
        <v>685.03247761502985</v>
      </c>
      <c r="AT18">
        <f>O18*(O$1-$AF18)^2</f>
        <v>598.41729206562752</v>
      </c>
      <c r="AU18">
        <f>P18*(P$1-$AF18)^2</f>
        <v>170.79875524041174</v>
      </c>
      <c r="AV18">
        <f>Q18*(Q$1-$AF18)^2</f>
        <v>39.361316702033918</v>
      </c>
      <c r="AW18">
        <f>R18*(R$1-$AF18)^2</f>
        <v>5.4374644169556898</v>
      </c>
      <c r="AX18">
        <f>S18*(S$1-$AF18)^2</f>
        <v>139.95966823663397</v>
      </c>
      <c r="AY18">
        <f>T18*(T$1-$AF18)^2</f>
        <v>486.07126960302321</v>
      </c>
      <c r="AZ18">
        <f>U18*(U$1-$AF18)^2</f>
        <v>641.94983437710312</v>
      </c>
      <c r="BA18">
        <f>V18*(V$1-$AF18)^2</f>
        <v>1201.0458180218423</v>
      </c>
      <c r="BB18">
        <f>W18*(W$1-$AF18)^2</f>
        <v>1909.0830184773054</v>
      </c>
      <c r="BC18">
        <f>X18*(X$1-$AF18)^2</f>
        <v>1745.5623932508677</v>
      </c>
      <c r="BD18">
        <f>Y18*(Y$1-$AF18)^2</f>
        <v>2343.8357745458316</v>
      </c>
      <c r="BE18">
        <f>Z18*(Z$1-$AF18)^2</f>
        <v>1652.7868122767977</v>
      </c>
      <c r="BF18">
        <f>AA18*(AA$1-$AF18)^2</f>
        <v>1642.8015501268055</v>
      </c>
      <c r="BG18">
        <f>AB18*(AB$1-$AF18)^2</f>
        <v>954.54325604264807</v>
      </c>
      <c r="BH18">
        <f>AC18*(AC$1-$AF18)^2</f>
        <v>765.94490450804847</v>
      </c>
      <c r="BI18">
        <f>AD18*(AD$1-$AF18)^2</f>
        <v>302.50921277366604</v>
      </c>
      <c r="BJ18">
        <f>AE18*(AE$1-$AF18)^2</f>
        <v>176.85172868899127</v>
      </c>
      <c r="BK18">
        <f>SQRT(SUM(AG18:BJ18)/SUM(B18:AE18))</f>
        <v>5.044663618442657</v>
      </c>
      <c r="BL18">
        <f>_xlfn.FLOOR.MATH((AF18-BK18)/5)</f>
        <v>2</v>
      </c>
    </row>
    <row r="19" spans="1:64">
      <c r="A19" t="s">
        <v>292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7</v>
      </c>
      <c r="N19">
        <v>5</v>
      </c>
      <c r="O19">
        <v>4</v>
      </c>
      <c r="P19">
        <v>6</v>
      </c>
      <c r="Q19">
        <v>5</v>
      </c>
      <c r="R19">
        <v>0</v>
      </c>
      <c r="S19">
        <v>2</v>
      </c>
      <c r="T19">
        <v>0</v>
      </c>
      <c r="U19">
        <v>3</v>
      </c>
      <c r="V19">
        <v>1</v>
      </c>
      <c r="W19">
        <v>2</v>
      </c>
      <c r="X19">
        <v>4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f>SUMPRODUCT($B$1:$AE$1,B19:AE19)/SUM(B19:AE19)</f>
        <v>15.829268292682928</v>
      </c>
      <c r="AG19">
        <f>B19*(B$1-$AF19)^2</f>
        <v>0</v>
      </c>
      <c r="AH19">
        <f>C19*(C$1-$AF19)^2</f>
        <v>0</v>
      </c>
      <c r="AI19">
        <f>D19*(D$1-$AF19)^2</f>
        <v>0</v>
      </c>
      <c r="AJ19">
        <f>E19*(E$1-$AF19)^2</f>
        <v>0</v>
      </c>
      <c r="AK19">
        <f>F19*(F$1-$AF19)^2</f>
        <v>0</v>
      </c>
      <c r="AL19">
        <f>G19*(G$1-$AF19)^2</f>
        <v>0</v>
      </c>
      <c r="AM19">
        <f>H19*(H$1-$AF19)^2</f>
        <v>0</v>
      </c>
      <c r="AN19">
        <f>I19*(I$1-$AF19)^2</f>
        <v>0</v>
      </c>
      <c r="AO19">
        <f>J19*(J$1-$AF19)^2</f>
        <v>0</v>
      </c>
      <c r="AP19">
        <f>K19*(K$1-$AF19)^2</f>
        <v>33.980368828078532</v>
      </c>
      <c r="AQ19">
        <f>L19*(L$1-$AF19)^2</f>
        <v>23.321832242712677</v>
      </c>
      <c r="AR19">
        <f>M19*(M$1-$AF19)^2</f>
        <v>102.64306960142777</v>
      </c>
      <c r="AS19">
        <f>N19*(N$1-$AF19)^2</f>
        <v>40.023795359904845</v>
      </c>
      <c r="AT19">
        <f>O19*(O$1-$AF19)^2</f>
        <v>13.384889946460451</v>
      </c>
      <c r="AU19">
        <f>P19*(P$1-$AF19)^2</f>
        <v>4.1261154074955462</v>
      </c>
      <c r="AV19">
        <f>Q19*(Q$1-$AF19)^2</f>
        <v>0.14574657941701241</v>
      </c>
      <c r="AW19">
        <f>R19*(R$1-$AF19)^2</f>
        <v>0</v>
      </c>
      <c r="AX19">
        <f>S19*(S$1-$AF19)^2</f>
        <v>9.4241522903033843</v>
      </c>
      <c r="AY19">
        <f>T19*(T$1-$AF19)^2</f>
        <v>0</v>
      </c>
      <c r="AZ19">
        <f>U19*(U$1-$AF19)^2</f>
        <v>52.185008923259943</v>
      </c>
      <c r="BA19">
        <f>V19*(V$1-$AF19)^2</f>
        <v>26.736466389054126</v>
      </c>
      <c r="BB19">
        <f>W19*(W$1-$AF19)^2</f>
        <v>76.155859607376541</v>
      </c>
      <c r="BC19">
        <f>X19*(X$1-$AF19)^2</f>
        <v>205.67757287328968</v>
      </c>
      <c r="BD19">
        <f>Y19*(Y$1-$AF19)^2</f>
        <v>0</v>
      </c>
      <c r="BE19">
        <f>Z19*(Z$1-$AF19)^2</f>
        <v>0</v>
      </c>
      <c r="BF19">
        <f>AA19*(AA$1-$AF19)^2</f>
        <v>0</v>
      </c>
      <c r="BG19">
        <f>AB19*(AB$1-$AF19)^2</f>
        <v>0</v>
      </c>
      <c r="BH19">
        <f>AC19*(AC$1-$AF19)^2</f>
        <v>0</v>
      </c>
      <c r="BI19">
        <f>AD19*(AD$1-$AF19)^2</f>
        <v>0</v>
      </c>
      <c r="BJ19">
        <f>AE19*(AE$1-$AF19)^2</f>
        <v>0</v>
      </c>
      <c r="BK19">
        <f>SQRT(SUM(AG19:BJ19)/SUM(B19:AE19))</f>
        <v>3.7863840722585427</v>
      </c>
      <c r="BL19">
        <f>_xlfn.FLOOR.MATH((AF19-BK19)/5)</f>
        <v>2</v>
      </c>
    </row>
    <row r="20" spans="1:64">
      <c r="A20" t="s">
        <v>293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1</v>
      </c>
      <c r="P20">
        <v>0</v>
      </c>
      <c r="Q20">
        <v>1</v>
      </c>
      <c r="R20">
        <v>25</v>
      </c>
      <c r="S20">
        <v>52</v>
      </c>
      <c r="T20">
        <v>37</v>
      </c>
      <c r="U20">
        <v>17</v>
      </c>
      <c r="V20">
        <v>11</v>
      </c>
      <c r="W20">
        <v>10</v>
      </c>
      <c r="X20">
        <v>8</v>
      </c>
      <c r="Y20">
        <v>5</v>
      </c>
      <c r="Z20">
        <v>3</v>
      </c>
      <c r="AA20">
        <v>1</v>
      </c>
      <c r="AB20">
        <v>1</v>
      </c>
      <c r="AC20">
        <v>2</v>
      </c>
      <c r="AD20">
        <v>1</v>
      </c>
      <c r="AE20">
        <v>0</v>
      </c>
      <c r="AF20">
        <f>SUMPRODUCT($B$1:$AE$1,B20:AE20)/SUM(B20:AE20)</f>
        <v>19.397727272727273</v>
      </c>
      <c r="AG20">
        <f>B20*(B$1-$AF20)^2</f>
        <v>0</v>
      </c>
      <c r="AH20">
        <f>C20*(C$1-$AF20)^2</f>
        <v>0</v>
      </c>
      <c r="AI20">
        <f>D20*(D$1-$AF20)^2</f>
        <v>0</v>
      </c>
      <c r="AJ20">
        <f>E20*(E$1-$AF20)^2</f>
        <v>0</v>
      </c>
      <c r="AK20">
        <f>F20*(F$1-$AF20)^2</f>
        <v>0</v>
      </c>
      <c r="AL20">
        <f>G20*(G$1-$AF20)^2</f>
        <v>0</v>
      </c>
      <c r="AM20">
        <f>H20*(H$1-$AF20)^2</f>
        <v>0</v>
      </c>
      <c r="AN20">
        <f>I20*(I$1-$AF20)^2</f>
        <v>0</v>
      </c>
      <c r="AO20">
        <f>J20*(J$1-$AF20)^2</f>
        <v>0</v>
      </c>
      <c r="AP20">
        <f>K20*(K$1-$AF20)^2</f>
        <v>0</v>
      </c>
      <c r="AQ20">
        <f>L20*(L$1-$AF20)^2</f>
        <v>0</v>
      </c>
      <c r="AR20">
        <f>M20*(M$1-$AF20)^2</f>
        <v>54.726368801652903</v>
      </c>
      <c r="AS20">
        <f>N20*(N$1-$AF20)^2</f>
        <v>0</v>
      </c>
      <c r="AT20">
        <f>O20*(O$1-$AF20)^2</f>
        <v>29.13545971074381</v>
      </c>
      <c r="AU20">
        <f>P20*(P$1-$AF20)^2</f>
        <v>0</v>
      </c>
      <c r="AV20">
        <f>Q20*(Q$1-$AF20)^2</f>
        <v>11.544550619834714</v>
      </c>
      <c r="AW20">
        <f>R20*(R$1-$AF20)^2</f>
        <v>143.7274018595042</v>
      </c>
      <c r="AX20">
        <f>S20*(S$1-$AF20)^2</f>
        <v>101.58935950413233</v>
      </c>
      <c r="AY20">
        <f>T20*(T$1-$AF20)^2</f>
        <v>5.8529183884297717</v>
      </c>
      <c r="AZ20">
        <f>U20*(U$1-$AF20)^2</f>
        <v>6.1664514462809787</v>
      </c>
      <c r="BA20">
        <f>V20*(V$1-$AF20)^2</f>
        <v>28.240056818181795</v>
      </c>
      <c r="BB20">
        <f>W20*(W$1-$AF20)^2</f>
        <v>67.718233471074342</v>
      </c>
      <c r="BC20">
        <f>X20*(X$1-$AF20)^2</f>
        <v>103.8109504132231</v>
      </c>
      <c r="BD20">
        <f>Y20*(Y$1-$AF20)^2</f>
        <v>105.90457128099172</v>
      </c>
      <c r="BE20">
        <f>Z20*(Z$1-$AF20)^2</f>
        <v>94.156379132231393</v>
      </c>
      <c r="BF20">
        <f>AA20*(AA$1-$AF20)^2</f>
        <v>43.590005165289249</v>
      </c>
      <c r="BG20">
        <f>AB20*(AB$1-$AF20)^2</f>
        <v>57.794550619834702</v>
      </c>
      <c r="BH20">
        <f>AC20*(AC$1-$AF20)^2</f>
        <v>147.9981921487603</v>
      </c>
      <c r="BI20">
        <f>AD20*(AD$1-$AF20)^2</f>
        <v>92.203641528925601</v>
      </c>
      <c r="BJ20">
        <f>AE20*(AE$1-$AF20)^2</f>
        <v>0</v>
      </c>
      <c r="BK20">
        <f>SQRT(SUM(AG20:BJ20)/SUM(B20:AE20))</f>
        <v>2.493353768828027</v>
      </c>
      <c r="BL20">
        <f>_xlfn.FLOOR.MATH((AF20-BK20)/5)</f>
        <v>3</v>
      </c>
    </row>
    <row r="21" spans="1:64">
      <c r="A21" t="s">
        <v>294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f>SUMPRODUCT($B$1:$AE$1,B21:AE21)/SUM(B21:AE21)</f>
        <v>16</v>
      </c>
      <c r="AG21">
        <f>B21*(B$1-$AF21)^2</f>
        <v>0</v>
      </c>
      <c r="AH21">
        <f>C21*(C$1-$AF21)^2</f>
        <v>0</v>
      </c>
      <c r="AI21">
        <f>D21*(D$1-$AF21)^2</f>
        <v>0</v>
      </c>
      <c r="AJ21">
        <f>E21*(E$1-$AF21)^2</f>
        <v>0</v>
      </c>
      <c r="AK21">
        <f>F21*(F$1-$AF21)^2</f>
        <v>0</v>
      </c>
      <c r="AL21">
        <f>G21*(G$1-$AF21)^2</f>
        <v>0</v>
      </c>
      <c r="AM21">
        <f>H21*(H$1-$AF21)^2</f>
        <v>0</v>
      </c>
      <c r="AN21">
        <f>I21*(I$1-$AF21)^2</f>
        <v>0</v>
      </c>
      <c r="AO21">
        <f>J21*(J$1-$AF21)^2</f>
        <v>0</v>
      </c>
      <c r="AP21">
        <f>K21*(K$1-$AF21)^2</f>
        <v>0</v>
      </c>
      <c r="AQ21">
        <f>L21*(L$1-$AF21)^2</f>
        <v>0</v>
      </c>
      <c r="AR21">
        <f>M21*(M$1-$AF21)^2</f>
        <v>0</v>
      </c>
      <c r="AS21">
        <f>N21*(N$1-$AF21)^2</f>
        <v>9</v>
      </c>
      <c r="AT21">
        <f>O21*(O$1-$AF21)^2</f>
        <v>0</v>
      </c>
      <c r="AU21">
        <f>P21*(P$1-$AF21)^2</f>
        <v>0</v>
      </c>
      <c r="AV21">
        <f>Q21*(Q$1-$AF21)^2</f>
        <v>0</v>
      </c>
      <c r="AW21">
        <f>R21*(R$1-$AF21)^2</f>
        <v>0</v>
      </c>
      <c r="AX21">
        <f>S21*(S$1-$AF21)^2</f>
        <v>0</v>
      </c>
      <c r="AY21">
        <f>T21*(T$1-$AF21)^2</f>
        <v>9</v>
      </c>
      <c r="AZ21">
        <f>U21*(U$1-$AF21)^2</f>
        <v>0</v>
      </c>
      <c r="BA21">
        <f>V21*(V$1-$AF21)^2</f>
        <v>0</v>
      </c>
      <c r="BB21">
        <f>W21*(W$1-$AF21)^2</f>
        <v>0</v>
      </c>
      <c r="BC21">
        <f>X21*(X$1-$AF21)^2</f>
        <v>0</v>
      </c>
      <c r="BD21">
        <f>Y21*(Y$1-$AF21)^2</f>
        <v>0</v>
      </c>
      <c r="BE21">
        <f>Z21*(Z$1-$AF21)^2</f>
        <v>0</v>
      </c>
      <c r="BF21">
        <f>AA21*(AA$1-$AF21)^2</f>
        <v>0</v>
      </c>
      <c r="BG21">
        <f>AB21*(AB$1-$AF21)^2</f>
        <v>0</v>
      </c>
      <c r="BH21">
        <f>AC21*(AC$1-$AF21)^2</f>
        <v>0</v>
      </c>
      <c r="BI21">
        <f>AD21*(AD$1-$AF21)^2</f>
        <v>0</v>
      </c>
      <c r="BJ21">
        <f>AE21*(AE$1-$AF21)^2</f>
        <v>0</v>
      </c>
      <c r="BK21">
        <f>SQRT(SUM(AG21:BJ21)/SUM(B21:AE21))</f>
        <v>3</v>
      </c>
      <c r="BL21">
        <f>_xlfn.FLOOR.MATH((AF21-BK21)/5)</f>
        <v>2</v>
      </c>
    </row>
    <row r="22" spans="1:64">
      <c r="A22" t="s">
        <v>295</v>
      </c>
      <c r="B22">
        <v>0</v>
      </c>
      <c r="C22">
        <v>0</v>
      </c>
      <c r="D22">
        <v>1</v>
      </c>
      <c r="E22">
        <v>2</v>
      </c>
      <c r="F22">
        <v>5</v>
      </c>
      <c r="G22">
        <v>5</v>
      </c>
      <c r="H22">
        <v>19</v>
      </c>
      <c r="I22">
        <v>20</v>
      </c>
      <c r="J22">
        <v>17</v>
      </c>
      <c r="K22">
        <v>15</v>
      </c>
      <c r="L22">
        <v>26</v>
      </c>
      <c r="M22">
        <v>29</v>
      </c>
      <c r="N22">
        <v>32</v>
      </c>
      <c r="O22">
        <v>20</v>
      </c>
      <c r="P22">
        <v>43</v>
      </c>
      <c r="Q22">
        <v>71</v>
      </c>
      <c r="R22">
        <v>65</v>
      </c>
      <c r="S22">
        <v>58</v>
      </c>
      <c r="T22">
        <v>60</v>
      </c>
      <c r="U22">
        <v>38</v>
      </c>
      <c r="V22">
        <v>44</v>
      </c>
      <c r="W22">
        <v>38</v>
      </c>
      <c r="X22">
        <v>19</v>
      </c>
      <c r="Y22">
        <v>7</v>
      </c>
      <c r="Z22">
        <v>11</v>
      </c>
      <c r="AA22">
        <v>9</v>
      </c>
      <c r="AB22">
        <v>4</v>
      </c>
      <c r="AC22">
        <v>1</v>
      </c>
      <c r="AD22">
        <v>2</v>
      </c>
      <c r="AE22">
        <v>0</v>
      </c>
      <c r="AF22">
        <f>SUMPRODUCT($B$1:$AE$1,B22:AE22)/SUM(B22:AE22)</f>
        <v>16.475037821482601</v>
      </c>
      <c r="AG22">
        <f>B22*(B$1-$AF22)^2</f>
        <v>0</v>
      </c>
      <c r="AH22">
        <f>C22*(C$1-$AF22)^2</f>
        <v>0</v>
      </c>
      <c r="AI22">
        <f>D22*(D$1-$AF22)^2</f>
        <v>181.57664429038658</v>
      </c>
      <c r="AJ22">
        <f>E22*(E$1-$AF22)^2</f>
        <v>311.25313729484276</v>
      </c>
      <c r="AK22">
        <f>F22*(F$1-$AF22)^2</f>
        <v>658.38246502228094</v>
      </c>
      <c r="AL22">
        <f>G22*(G$1-$AF22)^2</f>
        <v>548.63208680745481</v>
      </c>
      <c r="AM22">
        <f>H22*(H$1-$AF22)^2</f>
        <v>1705.7504926519894</v>
      </c>
      <c r="AN22">
        <f>I22*(I$1-$AF22)^2</f>
        <v>1436.5253215112111</v>
      </c>
      <c r="AO22">
        <f>J22*(J$1-$AF22)^2</f>
        <v>949.89523735412104</v>
      </c>
      <c r="AP22">
        <f>K22*(K$1-$AF22)^2</f>
        <v>628.89172184445238</v>
      </c>
      <c r="AQ22">
        <f>L22*(L$1-$AF22)^2</f>
        <v>779.37701781328872</v>
      </c>
      <c r="AR22">
        <f>M22*(M$1-$AF22)^2</f>
        <v>580.75294160729266</v>
      </c>
      <c r="AS22">
        <f>N22*(N$1-$AF22)^2</f>
        <v>386.42841154350543</v>
      </c>
      <c r="AT22">
        <f>O22*(O$1-$AF22)^2</f>
        <v>122.51624435538685</v>
      </c>
      <c r="AU22">
        <f>P22*(P$1-$AF22)^2</f>
        <v>93.556672716577964</v>
      </c>
      <c r="AV22">
        <f>Q22*(Q$1-$AF22)^2</f>
        <v>16.021926160564448</v>
      </c>
      <c r="AW22">
        <f>R22*(R$1-$AF22)^2</f>
        <v>17.913043776792648</v>
      </c>
      <c r="AX22">
        <f>S22*(S$1-$AF22)^2</f>
        <v>134.87955946269474</v>
      </c>
      <c r="AY22">
        <f>T22*(T$1-$AF22)^2</f>
        <v>382.52604017659968</v>
      </c>
      <c r="AZ22">
        <f>U22*(U$1-$AF22)^2</f>
        <v>472.16361767916874</v>
      </c>
      <c r="BA22">
        <f>V22*(V$1-$AF22)^2</f>
        <v>900.9124395485685</v>
      </c>
      <c r="BB22">
        <f>W22*(W$1-$AF22)^2</f>
        <v>1159.9578688138133</v>
      </c>
      <c r="BC22">
        <f>X22*(X$1-$AF22)^2</f>
        <v>808.92749719056781</v>
      </c>
      <c r="BD22">
        <f>Y22*(Y$1-$AF22)^2</f>
        <v>396.3753905168212</v>
      </c>
      <c r="BE22">
        <f>Z22*(Z$1-$AF22)^2</f>
        <v>799.42478159667314</v>
      </c>
      <c r="BF22">
        <f>AA22*(AA$1-$AF22)^2</f>
        <v>816.52414051968208</v>
      </c>
      <c r="BG22">
        <f>AB22*(AB$1-$AF22)^2</f>
        <v>443.0993154368868</v>
      </c>
      <c r="BH22">
        <f>AC22*(AC$1-$AF22)^2</f>
        <v>132.82475321625651</v>
      </c>
      <c r="BI22">
        <f>AD22*(AD$1-$AF22)^2</f>
        <v>313.74935514658262</v>
      </c>
      <c r="BJ22">
        <f>AE22*(AE$1-$AF22)^2</f>
        <v>0</v>
      </c>
      <c r="BK22">
        <f>SQRT(SUM(AG22:BJ22)/SUM(B22:AE22))</f>
        <v>4.7920190401512031</v>
      </c>
      <c r="BL22">
        <f>_xlfn.FLOOR.MATH((AF22-BK22)/5)</f>
        <v>2</v>
      </c>
    </row>
    <row r="23" spans="1:64">
      <c r="A23" t="s">
        <v>296</v>
      </c>
      <c r="B23">
        <v>0</v>
      </c>
      <c r="C23">
        <v>0</v>
      </c>
      <c r="D23">
        <v>0</v>
      </c>
      <c r="E23">
        <v>0</v>
      </c>
      <c r="F23">
        <v>0</v>
      </c>
      <c r="G23">
        <v>1</v>
      </c>
      <c r="H23">
        <v>1</v>
      </c>
      <c r="I23">
        <v>0</v>
      </c>
      <c r="J23">
        <v>0</v>
      </c>
      <c r="K23">
        <v>1</v>
      </c>
      <c r="L23">
        <v>2</v>
      </c>
      <c r="M23">
        <v>1</v>
      </c>
      <c r="N23">
        <v>0</v>
      </c>
      <c r="O23">
        <v>6</v>
      </c>
      <c r="P23">
        <v>2</v>
      </c>
      <c r="Q23">
        <v>5</v>
      </c>
      <c r="R23">
        <v>0</v>
      </c>
      <c r="S23">
        <v>8</v>
      </c>
      <c r="T23">
        <v>6</v>
      </c>
      <c r="U23">
        <v>6</v>
      </c>
      <c r="V23">
        <v>8</v>
      </c>
      <c r="W23">
        <v>6</v>
      </c>
      <c r="X23">
        <v>3</v>
      </c>
      <c r="Y23">
        <v>5</v>
      </c>
      <c r="Z23">
        <v>2</v>
      </c>
      <c r="AA23">
        <v>10</v>
      </c>
      <c r="AB23">
        <v>3</v>
      </c>
      <c r="AC23">
        <v>2</v>
      </c>
      <c r="AD23">
        <v>1</v>
      </c>
      <c r="AE23">
        <v>0</v>
      </c>
      <c r="AF23">
        <f>SUMPRODUCT($B$1:$AE$1,B23:AE23)/SUM(B23:AE23)</f>
        <v>20.177215189873419</v>
      </c>
      <c r="AG23">
        <f>B23*(B$1-$AF23)^2</f>
        <v>0</v>
      </c>
      <c r="AH23">
        <f>C23*(C$1-$AF23)^2</f>
        <v>0</v>
      </c>
      <c r="AI23">
        <f>D23*(D$1-$AF23)^2</f>
        <v>0</v>
      </c>
      <c r="AJ23">
        <f>E23*(E$1-$AF23)^2</f>
        <v>0</v>
      </c>
      <c r="AK23">
        <f>F23*(F$1-$AF23)^2</f>
        <v>0</v>
      </c>
      <c r="AL23">
        <f>G23*(G$1-$AF23)^2</f>
        <v>200.9934305399776</v>
      </c>
      <c r="AM23">
        <f>H23*(H$1-$AF23)^2</f>
        <v>173.63900016023075</v>
      </c>
      <c r="AN23">
        <f>I23*(I$1-$AF23)^2</f>
        <v>0</v>
      </c>
      <c r="AO23">
        <f>J23*(J$1-$AF23)^2</f>
        <v>0</v>
      </c>
      <c r="AP23">
        <f>K23*(K$1-$AF23)^2</f>
        <v>103.57570902099025</v>
      </c>
      <c r="AQ23">
        <f>L23*(L$1-$AF23)^2</f>
        <v>168.4425572824868</v>
      </c>
      <c r="AR23">
        <f>M23*(M$1-$AF23)^2</f>
        <v>66.866848261496571</v>
      </c>
      <c r="AS23">
        <f>N23*(N$1-$AF23)^2</f>
        <v>0</v>
      </c>
      <c r="AT23">
        <f>O23*(O$1-$AF23)^2</f>
        <v>228.94792501201738</v>
      </c>
      <c r="AU23">
        <f>P23*(P$1-$AF23)^2</f>
        <v>53.607114244512118</v>
      </c>
      <c r="AV23">
        <f>Q23*(Q$1-$AF23)^2</f>
        <v>87.245633712546109</v>
      </c>
      <c r="AW23">
        <f>R23*(R$1-$AF23)^2</f>
        <v>0</v>
      </c>
      <c r="AX23">
        <f>S23*(S$1-$AF23)^2</f>
        <v>37.92212786412437</v>
      </c>
      <c r="AY23">
        <f>T23*(T$1-$AF23)^2</f>
        <v>8.3150136196122553</v>
      </c>
      <c r="AZ23">
        <f>U23*(U$1-$AF23)^2</f>
        <v>0.18843134113123094</v>
      </c>
      <c r="BA23">
        <f>V23*(V$1-$AF23)^2</f>
        <v>5.4157987502002758</v>
      </c>
      <c r="BB23">
        <f>W23*(W$1-$AF23)^2</f>
        <v>19.935266784169183</v>
      </c>
      <c r="BC23">
        <f>X23*(X$1-$AF23)^2</f>
        <v>23.904342252844078</v>
      </c>
      <c r="BD23">
        <f>Y23*(Y$1-$AF23)^2</f>
        <v>73.068418522672616</v>
      </c>
      <c r="BE23">
        <f>Z23*(Z$1-$AF23)^2</f>
        <v>46.518506649575372</v>
      </c>
      <c r="BF23">
        <f>AA23*(AA$1-$AF23)^2</f>
        <v>339.04822945040848</v>
      </c>
      <c r="BG23">
        <f>AB23*(AB$1-$AF23)^2</f>
        <v>139.65117769588204</v>
      </c>
      <c r="BH23">
        <f>AC23*(AC$1-$AF23)^2</f>
        <v>122.39192437109435</v>
      </c>
      <c r="BI23">
        <f>AD23*(AD$1-$AF23)^2</f>
        <v>77.841531805800329</v>
      </c>
      <c r="BJ23">
        <f>AE23*(AE$1-$AF23)^2</f>
        <v>0</v>
      </c>
      <c r="BK23">
        <f>SQRT(SUM(AG23:BJ23)/SUM(B23:AE23))</f>
        <v>5.0031875755081012</v>
      </c>
      <c r="BL23">
        <f>_xlfn.FLOOR.MATH((AF23-BK23)/5)</f>
        <v>3</v>
      </c>
    </row>
    <row r="24" spans="1:64">
      <c r="A24" t="s">
        <v>297</v>
      </c>
      <c r="B24">
        <v>0</v>
      </c>
      <c r="C24">
        <v>2</v>
      </c>
      <c r="D24">
        <v>67</v>
      </c>
      <c r="E24">
        <v>121</v>
      </c>
      <c r="F24">
        <v>119</v>
      </c>
      <c r="G24">
        <v>136</v>
      </c>
      <c r="H24">
        <v>141</v>
      </c>
      <c r="I24">
        <v>142</v>
      </c>
      <c r="J24">
        <v>164</v>
      </c>
      <c r="K24">
        <v>179</v>
      </c>
      <c r="L24">
        <v>185</v>
      </c>
      <c r="M24">
        <v>161</v>
      </c>
      <c r="N24">
        <v>130</v>
      </c>
      <c r="O24">
        <v>79</v>
      </c>
      <c r="P24">
        <v>76</v>
      </c>
      <c r="Q24">
        <v>76</v>
      </c>
      <c r="R24">
        <v>50</v>
      </c>
      <c r="S24">
        <v>48</v>
      </c>
      <c r="T24">
        <v>29</v>
      </c>
      <c r="U24">
        <v>25</v>
      </c>
      <c r="V24">
        <v>21</v>
      </c>
      <c r="W24">
        <v>16</v>
      </c>
      <c r="X24">
        <v>9</v>
      </c>
      <c r="Y24">
        <v>8</v>
      </c>
      <c r="Z24">
        <v>5</v>
      </c>
      <c r="AA24">
        <v>4</v>
      </c>
      <c r="AB24">
        <v>3</v>
      </c>
      <c r="AC24">
        <v>1</v>
      </c>
      <c r="AD24">
        <v>0</v>
      </c>
      <c r="AE24">
        <v>2</v>
      </c>
      <c r="AF24">
        <f>SUMPRODUCT($B$1:$AE$1,B24:AE24)/SUM(B24:AE24)</f>
        <v>10.486743371685844</v>
      </c>
      <c r="AG24">
        <f>B24*(B$1-$AF24)^2</f>
        <v>0</v>
      </c>
      <c r="AH24">
        <f>C24*(C$1-$AF24)^2</f>
        <v>144.04962611370721</v>
      </c>
      <c r="AI24">
        <f>D24*(D$1-$AF24)^2</f>
        <v>3755.4388630032881</v>
      </c>
      <c r="AJ24">
        <f>E24*(E$1-$AF24)^2</f>
        <v>5091.4185879833376</v>
      </c>
      <c r="AK24">
        <f>F24*(F$1-$AF24)^2</f>
        <v>3582.4179863818858</v>
      </c>
      <c r="AL24">
        <f>G24*(G$1-$AF24)^2</f>
        <v>2737.7977873378918</v>
      </c>
      <c r="AM24">
        <f>H24*(H$1-$AF24)^2</f>
        <v>1714.1904869393184</v>
      </c>
      <c r="AN24">
        <f>I24*(I$1-$AF24)^2</f>
        <v>878.11274872053389</v>
      </c>
      <c r="AO24">
        <f>J24*(J$1-$AF24)^2</f>
        <v>362.5065599332936</v>
      </c>
      <c r="AP24">
        <f>K24*(K$1-$AF24)^2</f>
        <v>42.408520668538486</v>
      </c>
      <c r="AQ24">
        <f>L24*(L$1-$AF24)^2</f>
        <v>48.734987804056985</v>
      </c>
      <c r="AR24">
        <f>M24*(M$1-$AF24)^2</f>
        <v>368.68124532501332</v>
      </c>
      <c r="AS24">
        <f>N24*(N$1-$AF24)^2</f>
        <v>821.13965436945546</v>
      </c>
      <c r="AT24">
        <f>O24*(O$1-$AF24)^2</f>
        <v>975.09479877507499</v>
      </c>
      <c r="AU24">
        <f>P24*(P$1-$AF24)^2</f>
        <v>1548.0808898696466</v>
      </c>
      <c r="AV24">
        <f>Q24*(Q$1-$AF24)^2</f>
        <v>2310.0958973733982</v>
      </c>
      <c r="AW24">
        <f>R24*(R$1-$AF24)^2</f>
        <v>2121.1255953139148</v>
      </c>
      <c r="AX24">
        <f>S24*(S$1-$AF24)^2</f>
        <v>2709.5532078195174</v>
      </c>
      <c r="AY24">
        <f>T24*(T$1-$AF24)^2</f>
        <v>2101.7906141665126</v>
      </c>
      <c r="AZ24">
        <f>U24*(U$1-$AF24)^2</f>
        <v>2262.5512919040807</v>
      </c>
      <c r="BA24">
        <f>V24*(V$1-$AF24)^2</f>
        <v>2321.0998635886222</v>
      </c>
      <c r="BB24">
        <f>W24*(W$1-$AF24)^2</f>
        <v>2120.8812510307175</v>
      </c>
      <c r="BC24">
        <f>X24*(X$1-$AF24)^2</f>
        <v>1409.2343230144336</v>
      </c>
      <c r="BD24">
        <f>Y24*(Y$1-$AF24)^2</f>
        <v>1460.8648376214119</v>
      </c>
      <c r="BE24">
        <f>Z24*(Z$1-$AF24)^2</f>
        <v>1053.173089796524</v>
      </c>
      <c r="BF24">
        <f>AA24*(AA$1-$AF24)^2</f>
        <v>962.64452486373239</v>
      </c>
      <c r="BG24">
        <f>AB24*(AB$1-$AF24)^2</f>
        <v>818.06293341768423</v>
      </c>
      <c r="BH24">
        <f>AC24*(AC$1-$AF24)^2</f>
        <v>306.71415772918971</v>
      </c>
      <c r="BI24">
        <f>AD24*(AD$1-$AF24)^2</f>
        <v>0</v>
      </c>
      <c r="BJ24">
        <f>AE24*(AE$1-$AF24)^2</f>
        <v>761.53436848489275</v>
      </c>
      <c r="BK24">
        <f>SQRT(SUM(AG24:BJ24)/SUM(B24:AE24))</f>
        <v>4.7334873297417044</v>
      </c>
      <c r="BL24">
        <f>_xlfn.FLOOR.MATH((AF24-BK24)/5)</f>
        <v>1</v>
      </c>
    </row>
    <row r="25" spans="1:64">
      <c r="A25" t="s">
        <v>298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1</v>
      </c>
      <c r="U25">
        <v>2</v>
      </c>
      <c r="V25">
        <v>3</v>
      </c>
      <c r="W25">
        <v>0</v>
      </c>
      <c r="X25">
        <v>0</v>
      </c>
      <c r="Y25">
        <v>1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f>SUMPRODUCT($B$1:$AE$1,B25:AE25)/SUM(B25:AE25)</f>
        <v>20.777777777777779</v>
      </c>
      <c r="AG25">
        <f>B25*(B$1-$AF25)^2</f>
        <v>0</v>
      </c>
      <c r="AH25">
        <f>C25*(C$1-$AF25)^2</f>
        <v>0</v>
      </c>
      <c r="AI25">
        <f>D25*(D$1-$AF25)^2</f>
        <v>0</v>
      </c>
      <c r="AJ25">
        <f>E25*(E$1-$AF25)^2</f>
        <v>0</v>
      </c>
      <c r="AK25">
        <f>F25*(F$1-$AF25)^2</f>
        <v>0</v>
      </c>
      <c r="AL25">
        <f>G25*(G$1-$AF25)^2</f>
        <v>0</v>
      </c>
      <c r="AM25">
        <f>H25*(H$1-$AF25)^2</f>
        <v>0</v>
      </c>
      <c r="AN25">
        <f>I25*(I$1-$AF25)^2</f>
        <v>0</v>
      </c>
      <c r="AO25">
        <f>J25*(J$1-$AF25)^2</f>
        <v>0</v>
      </c>
      <c r="AP25">
        <f>K25*(K$1-$AF25)^2</f>
        <v>0</v>
      </c>
      <c r="AQ25">
        <f>L25*(L$1-$AF25)^2</f>
        <v>0</v>
      </c>
      <c r="AR25">
        <f>M25*(M$1-$AF25)^2</f>
        <v>0</v>
      </c>
      <c r="AS25">
        <f>N25*(N$1-$AF25)^2</f>
        <v>0</v>
      </c>
      <c r="AT25">
        <f>O25*(O$1-$AF25)^2</f>
        <v>0</v>
      </c>
      <c r="AU25">
        <f>P25*(P$1-$AF25)^2</f>
        <v>0</v>
      </c>
      <c r="AV25">
        <f>Q25*(Q$1-$AF25)^2</f>
        <v>22.827160493827169</v>
      </c>
      <c r="AW25">
        <f>R25*(R$1-$AF25)^2</f>
        <v>0</v>
      </c>
      <c r="AX25">
        <f>S25*(S$1-$AF25)^2</f>
        <v>0</v>
      </c>
      <c r="AY25">
        <f>T25*(T$1-$AF25)^2</f>
        <v>3.1604938271604968</v>
      </c>
      <c r="AZ25">
        <f>U25*(U$1-$AF25)^2</f>
        <v>1.209876543209879</v>
      </c>
      <c r="BA25">
        <f>V25*(V$1-$AF25)^2</f>
        <v>0.14814814814814709</v>
      </c>
      <c r="BB25">
        <f>W25*(W$1-$AF25)^2</f>
        <v>0</v>
      </c>
      <c r="BC25">
        <f>X25*(X$1-$AF25)^2</f>
        <v>0</v>
      </c>
      <c r="BD25">
        <f>Y25*(Y$1-$AF25)^2</f>
        <v>10.382716049382712</v>
      </c>
      <c r="BE25">
        <f>Z25*(Z$1-$AF25)^2</f>
        <v>17.827160493827154</v>
      </c>
      <c r="BF25">
        <f>AA25*(AA$1-$AF25)^2</f>
        <v>0</v>
      </c>
      <c r="BG25">
        <f>AB25*(AB$1-$AF25)^2</f>
        <v>0</v>
      </c>
      <c r="BH25">
        <f>AC25*(AC$1-$AF25)^2</f>
        <v>0</v>
      </c>
      <c r="BI25">
        <f>AD25*(AD$1-$AF25)^2</f>
        <v>0</v>
      </c>
      <c r="BJ25">
        <f>AE25*(AE$1-$AF25)^2</f>
        <v>0</v>
      </c>
      <c r="BK25">
        <f>SQRT(SUM(AG25:BJ25)/SUM(B25:AE25))</f>
        <v>2.4845199749997664</v>
      </c>
      <c r="BL25">
        <f>_xlfn.FLOOR.MATH((AF25-BK25)/5)</f>
        <v>3</v>
      </c>
    </row>
    <row r="26" spans="1:64">
      <c r="A26" t="s">
        <v>299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2</v>
      </c>
      <c r="S26">
        <v>4</v>
      </c>
      <c r="T26">
        <v>3</v>
      </c>
      <c r="U26">
        <v>2</v>
      </c>
      <c r="V26">
        <v>2</v>
      </c>
      <c r="W26">
        <v>8</v>
      </c>
      <c r="X26">
        <v>2</v>
      </c>
      <c r="Y26">
        <v>3</v>
      </c>
      <c r="Z26">
        <v>7</v>
      </c>
      <c r="AA26">
        <v>4</v>
      </c>
      <c r="AB26">
        <v>1</v>
      </c>
      <c r="AC26">
        <v>1</v>
      </c>
      <c r="AD26">
        <v>0</v>
      </c>
      <c r="AE26">
        <v>1</v>
      </c>
      <c r="AF26">
        <f>SUMPRODUCT($B$1:$AE$1,B26:AE26)/SUM(B26:AE26)</f>
        <v>22.365853658536587</v>
      </c>
      <c r="AG26">
        <f>B26*(B$1-$AF26)^2</f>
        <v>0</v>
      </c>
      <c r="AH26">
        <f>C26*(C$1-$AF26)^2</f>
        <v>0</v>
      </c>
      <c r="AI26">
        <f>D26*(D$1-$AF26)^2</f>
        <v>0</v>
      </c>
      <c r="AJ26">
        <f>E26*(E$1-$AF26)^2</f>
        <v>0</v>
      </c>
      <c r="AK26">
        <f>F26*(F$1-$AF26)^2</f>
        <v>0</v>
      </c>
      <c r="AL26">
        <f>G26*(G$1-$AF26)^2</f>
        <v>0</v>
      </c>
      <c r="AM26">
        <f>H26*(H$1-$AF26)^2</f>
        <v>0</v>
      </c>
      <c r="AN26">
        <f>I26*(I$1-$AF26)^2</f>
        <v>0</v>
      </c>
      <c r="AO26">
        <f>J26*(J$1-$AF26)^2</f>
        <v>0</v>
      </c>
      <c r="AP26">
        <f>K26*(K$1-$AF26)^2</f>
        <v>0</v>
      </c>
      <c r="AQ26">
        <f>L26*(L$1-$AF26)^2</f>
        <v>0</v>
      </c>
      <c r="AR26">
        <f>M26*(M$1-$AF26)^2</f>
        <v>0</v>
      </c>
      <c r="AS26">
        <f>N26*(N$1-$AF26)^2</f>
        <v>0</v>
      </c>
      <c r="AT26">
        <f>O26*(O$1-$AF26)^2</f>
        <v>69.987507436049995</v>
      </c>
      <c r="AU26">
        <f>P26*(P$1-$AF26)^2</f>
        <v>0</v>
      </c>
      <c r="AV26">
        <f>Q26*(Q$1-$AF26)^2</f>
        <v>0</v>
      </c>
      <c r="AW26">
        <f>R26*(R$1-$AF26)^2</f>
        <v>57.584770969660944</v>
      </c>
      <c r="AX26">
        <f>S26*(S$1-$AF26)^2</f>
        <v>76.242712671029196</v>
      </c>
      <c r="AY26">
        <f>T26*(T$1-$AF26)^2</f>
        <v>33.986912552052374</v>
      </c>
      <c r="AZ26">
        <f>U26*(U$1-$AF26)^2</f>
        <v>11.194527067221903</v>
      </c>
      <c r="BA26">
        <f>V26*(V$1-$AF26)^2</f>
        <v>3.7311124330755567</v>
      </c>
      <c r="BB26">
        <f>W26*(W$1-$AF26)^2</f>
        <v>1.0707911957168423</v>
      </c>
      <c r="BC26">
        <f>X26*(X$1-$AF26)^2</f>
        <v>0.80428316478286421</v>
      </c>
      <c r="BD26">
        <f>Y26*(Y$1-$AF26)^2</f>
        <v>8.0113027959547765</v>
      </c>
      <c r="BE26">
        <f>Z26*(Z$1-$AF26)^2</f>
        <v>48.571088637715604</v>
      </c>
      <c r="BF26">
        <f>AA26*(AA$1-$AF26)^2</f>
        <v>52.828078524687648</v>
      </c>
      <c r="BG26">
        <f>AB26*(AB$1-$AF26)^2</f>
        <v>21.475312314098741</v>
      </c>
      <c r="BH26">
        <f>AC26*(AC$1-$AF26)^2</f>
        <v>31.743604997025567</v>
      </c>
      <c r="BI26">
        <f>AD26*(AD$1-$AF26)^2</f>
        <v>0</v>
      </c>
      <c r="BJ26">
        <f>AE26*(AE$1-$AF26)^2</f>
        <v>58.280190362879218</v>
      </c>
      <c r="BK26">
        <f>SQRT(SUM(AG26:BJ26)/SUM(B26:AE26))</f>
        <v>3.4055628635525976</v>
      </c>
      <c r="BL26">
        <f>_xlfn.FLOOR.MATH((AF26-BK26)/5)</f>
        <v>3</v>
      </c>
    </row>
    <row r="27" spans="1:64">
      <c r="A27" t="s">
        <v>300</v>
      </c>
      <c r="B27">
        <v>0</v>
      </c>
      <c r="C27">
        <v>0</v>
      </c>
      <c r="D27">
        <v>1</v>
      </c>
      <c r="E27">
        <v>0</v>
      </c>
      <c r="F27">
        <v>0</v>
      </c>
      <c r="G27">
        <v>5</v>
      </c>
      <c r="H27">
        <v>1</v>
      </c>
      <c r="I27">
        <v>0</v>
      </c>
      <c r="J27">
        <v>1</v>
      </c>
      <c r="K27">
        <v>3</v>
      </c>
      <c r="L27">
        <v>2</v>
      </c>
      <c r="M27">
        <v>4</v>
      </c>
      <c r="N27">
        <v>1</v>
      </c>
      <c r="O27">
        <v>5</v>
      </c>
      <c r="P27">
        <v>6</v>
      </c>
      <c r="Q27">
        <v>4</v>
      </c>
      <c r="R27">
        <v>10</v>
      </c>
      <c r="S27">
        <v>11</v>
      </c>
      <c r="T27">
        <v>4</v>
      </c>
      <c r="U27">
        <v>5</v>
      </c>
      <c r="V27">
        <v>5</v>
      </c>
      <c r="W27">
        <v>2</v>
      </c>
      <c r="X27">
        <v>7</v>
      </c>
      <c r="Y27">
        <v>5</v>
      </c>
      <c r="Z27">
        <v>4</v>
      </c>
      <c r="AA27">
        <v>2</v>
      </c>
      <c r="AB27">
        <v>2</v>
      </c>
      <c r="AC27">
        <v>1</v>
      </c>
      <c r="AD27">
        <v>1</v>
      </c>
      <c r="AE27">
        <v>0</v>
      </c>
      <c r="AF27">
        <f>SUMPRODUCT($B$1:$AE$1,B27:AE27)/SUM(B27:AE27)</f>
        <v>17.641304347826086</v>
      </c>
      <c r="AG27">
        <f>B27*(B$1-$AF27)^2</f>
        <v>0</v>
      </c>
      <c r="AH27">
        <f>C27*(C$1-$AF27)^2</f>
        <v>0</v>
      </c>
      <c r="AI27">
        <f>D27*(D$1-$AF27)^2</f>
        <v>214.36779300567105</v>
      </c>
      <c r="AJ27">
        <f>E27*(E$1-$AF27)^2</f>
        <v>0</v>
      </c>
      <c r="AK27">
        <f>F27*(F$1-$AF27)^2</f>
        <v>0</v>
      </c>
      <c r="AL27">
        <f>G27*(G$1-$AF27)^2</f>
        <v>677.59983459357272</v>
      </c>
      <c r="AM27">
        <f>H27*(H$1-$AF27)^2</f>
        <v>113.23735822306236</v>
      </c>
      <c r="AN27">
        <f>I27*(I$1-$AF27)^2</f>
        <v>0</v>
      </c>
      <c r="AO27">
        <f>J27*(J$1-$AF27)^2</f>
        <v>74.672140831758014</v>
      </c>
      <c r="AP27">
        <f>K27*(K$1-$AF27)^2</f>
        <v>175.16859640831754</v>
      </c>
      <c r="AQ27">
        <f>L27*(L$1-$AF27)^2</f>
        <v>88.213846880907354</v>
      </c>
      <c r="AR27">
        <f>M27*(M$1-$AF27)^2</f>
        <v>127.29725897920601</v>
      </c>
      <c r="AS27">
        <f>N27*(N$1-$AF27)^2</f>
        <v>21.54170604914933</v>
      </c>
      <c r="AT27">
        <f>O27*(O$1-$AF27)^2</f>
        <v>66.295486767485784</v>
      </c>
      <c r="AU27">
        <f>P27*(P$1-$AF27)^2</f>
        <v>41.858931947069912</v>
      </c>
      <c r="AV27">
        <f>Q27*(Q$1-$AF27)^2</f>
        <v>10.775519848771255</v>
      </c>
      <c r="AW27">
        <f>R27*(R$1-$AF27)^2</f>
        <v>4.1127126654064154</v>
      </c>
      <c r="AX27">
        <f>S27*(S$1-$AF27)^2</f>
        <v>1.4152882797731641</v>
      </c>
      <c r="AY27">
        <f>T27*(T$1-$AF27)^2</f>
        <v>7.3842155009451895</v>
      </c>
      <c r="AZ27">
        <f>U27*(U$1-$AF27)^2</f>
        <v>27.817225897920625</v>
      </c>
      <c r="BA27">
        <f>V27*(V$1-$AF27)^2</f>
        <v>56.404182419659762</v>
      </c>
      <c r="BB27">
        <f>W27*(W$1-$AF27)^2</f>
        <v>37.996455576559562</v>
      </c>
      <c r="BC27">
        <f>X27*(X$1-$AF27)^2</f>
        <v>201.00933364839327</v>
      </c>
      <c r="BD27">
        <f>Y27*(Y$1-$AF27)^2</f>
        <v>202.16505198487721</v>
      </c>
      <c r="BE27">
        <f>Z27*(Z$1-$AF27)^2</f>
        <v>216.60160680529307</v>
      </c>
      <c r="BF27">
        <f>AA27*(AA$1-$AF27)^2</f>
        <v>139.73558601134218</v>
      </c>
      <c r="BG27">
        <f>AB27*(AB$1-$AF27)^2</f>
        <v>175.17036862003783</v>
      </c>
      <c r="BH27">
        <f>AC27*(AC$1-$AF27)^2</f>
        <v>107.30257561436675</v>
      </c>
      <c r="BI27">
        <f>AD27*(AD$1-$AF27)^2</f>
        <v>129.01996691871457</v>
      </c>
      <c r="BJ27">
        <f>AE27*(AE$1-$AF27)^2</f>
        <v>0</v>
      </c>
      <c r="BK27">
        <f>SQRT(SUM(AG27:BJ27)/SUM(B27:AE27))</f>
        <v>5.6310118052487388</v>
      </c>
      <c r="BL27">
        <f>_xlfn.FLOOR.MATH((AF27-BK27)/5)</f>
        <v>2</v>
      </c>
    </row>
    <row r="28" spans="1:64">
      <c r="A28" t="s">
        <v>301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2</v>
      </c>
      <c r="V28">
        <v>0</v>
      </c>
      <c r="W28">
        <v>1</v>
      </c>
      <c r="X28">
        <v>1</v>
      </c>
      <c r="Y28">
        <v>0</v>
      </c>
      <c r="Z28">
        <v>0</v>
      </c>
      <c r="AA28">
        <v>3</v>
      </c>
      <c r="AB28">
        <v>2</v>
      </c>
      <c r="AC28">
        <v>0</v>
      </c>
      <c r="AD28">
        <v>0</v>
      </c>
      <c r="AE28">
        <v>0</v>
      </c>
      <c r="AF28">
        <f>SUMPRODUCT($B$1:$AE$1,B28:AE28)/SUM(B28:AE28)</f>
        <v>23.6</v>
      </c>
      <c r="AG28">
        <f>B28*(B$1-$AF28)^2</f>
        <v>0</v>
      </c>
      <c r="AH28">
        <f>C28*(C$1-$AF28)^2</f>
        <v>0</v>
      </c>
      <c r="AI28">
        <f>D28*(D$1-$AF28)^2</f>
        <v>0</v>
      </c>
      <c r="AJ28">
        <f>E28*(E$1-$AF28)^2</f>
        <v>0</v>
      </c>
      <c r="AK28">
        <f>F28*(F$1-$AF28)^2</f>
        <v>0</v>
      </c>
      <c r="AL28">
        <f>G28*(G$1-$AF28)^2</f>
        <v>0</v>
      </c>
      <c r="AM28">
        <f>H28*(H$1-$AF28)^2</f>
        <v>0</v>
      </c>
      <c r="AN28">
        <f>I28*(I$1-$AF28)^2</f>
        <v>0</v>
      </c>
      <c r="AO28">
        <f>J28*(J$1-$AF28)^2</f>
        <v>0</v>
      </c>
      <c r="AP28">
        <f>K28*(K$1-$AF28)^2</f>
        <v>0</v>
      </c>
      <c r="AQ28">
        <f>L28*(L$1-$AF28)^2</f>
        <v>0</v>
      </c>
      <c r="AR28">
        <f>M28*(M$1-$AF28)^2</f>
        <v>0</v>
      </c>
      <c r="AS28">
        <f>N28*(N$1-$AF28)^2</f>
        <v>0</v>
      </c>
      <c r="AT28">
        <f>O28*(O$1-$AF28)^2</f>
        <v>0</v>
      </c>
      <c r="AU28">
        <f>P28*(P$1-$AF28)^2</f>
        <v>0</v>
      </c>
      <c r="AV28">
        <f>Q28*(Q$1-$AF28)^2</f>
        <v>0</v>
      </c>
      <c r="AW28">
        <f>R28*(R$1-$AF28)^2</f>
        <v>0</v>
      </c>
      <c r="AX28">
        <f>S28*(S$1-$AF28)^2</f>
        <v>0</v>
      </c>
      <c r="AY28">
        <f>T28*(T$1-$AF28)^2</f>
        <v>21.160000000000014</v>
      </c>
      <c r="AZ28">
        <f>U28*(U$1-$AF28)^2</f>
        <v>25.920000000000019</v>
      </c>
      <c r="BA28">
        <f>V28*(V$1-$AF28)^2</f>
        <v>0</v>
      </c>
      <c r="BB28">
        <f>W28*(W$1-$AF28)^2</f>
        <v>2.5600000000000045</v>
      </c>
      <c r="BC28">
        <f>X28*(X$1-$AF28)^2</f>
        <v>0.36000000000000171</v>
      </c>
      <c r="BD28">
        <f>Y28*(Y$1-$AF28)^2</f>
        <v>0</v>
      </c>
      <c r="BE28">
        <f>Z28*(Z$1-$AF28)^2</f>
        <v>0</v>
      </c>
      <c r="BF28">
        <f>AA28*(AA$1-$AF28)^2</f>
        <v>17.27999999999998</v>
      </c>
      <c r="BG28">
        <f>AB28*(AB$1-$AF28)^2</f>
        <v>23.11999999999998</v>
      </c>
      <c r="BH28">
        <f>AC28*(AC$1-$AF28)^2</f>
        <v>0</v>
      </c>
      <c r="BI28">
        <f>AD28*(AD$1-$AF28)^2</f>
        <v>0</v>
      </c>
      <c r="BJ28">
        <f>AE28*(AE$1-$AF28)^2</f>
        <v>0</v>
      </c>
      <c r="BK28">
        <f>SQRT(SUM(AG28:BJ28)/SUM(B28:AE28))</f>
        <v>3.0066592756745814</v>
      </c>
      <c r="BL28">
        <f>_xlfn.FLOOR.MATH((AF28-BK28)/5)</f>
        <v>4</v>
      </c>
    </row>
    <row r="29" spans="1:64">
      <c r="A29" t="s">
        <v>302</v>
      </c>
      <c r="B29">
        <v>0</v>
      </c>
      <c r="C29">
        <v>6</v>
      </c>
      <c r="D29">
        <v>18</v>
      </c>
      <c r="E29">
        <v>19</v>
      </c>
      <c r="F29">
        <v>22</v>
      </c>
      <c r="G29">
        <v>22</v>
      </c>
      <c r="H29">
        <v>31</v>
      </c>
      <c r="I29">
        <v>39</v>
      </c>
      <c r="J29">
        <v>24</v>
      </c>
      <c r="K29">
        <v>38</v>
      </c>
      <c r="L29">
        <v>22</v>
      </c>
      <c r="M29">
        <v>37</v>
      </c>
      <c r="N29">
        <v>33</v>
      </c>
      <c r="O29">
        <v>25</v>
      </c>
      <c r="P29">
        <v>28</v>
      </c>
      <c r="Q29">
        <v>30</v>
      </c>
      <c r="R29">
        <v>49</v>
      </c>
      <c r="S29">
        <v>41</v>
      </c>
      <c r="T29">
        <v>45</v>
      </c>
      <c r="U29">
        <v>38</v>
      </c>
      <c r="V29">
        <v>41</v>
      </c>
      <c r="W29">
        <v>35</v>
      </c>
      <c r="X29">
        <v>24</v>
      </c>
      <c r="Y29">
        <v>27</v>
      </c>
      <c r="Z29">
        <v>18</v>
      </c>
      <c r="AA29">
        <v>22</v>
      </c>
      <c r="AB29">
        <v>10</v>
      </c>
      <c r="AC29">
        <v>7</v>
      </c>
      <c r="AD29">
        <v>4</v>
      </c>
      <c r="AE29">
        <v>5</v>
      </c>
      <c r="AF29">
        <f>SUMPRODUCT($B$1:$AE$1,B29:AE29)/SUM(B29:AE29)</f>
        <v>15.322368421052632</v>
      </c>
      <c r="AG29">
        <f>B29*(B$1-$AF29)^2</f>
        <v>0</v>
      </c>
      <c r="AH29">
        <f>C29*(C$1-$AF29)^2</f>
        <v>1064.9130020775624</v>
      </c>
      <c r="AI29">
        <f>D29*(D$1-$AF29)^2</f>
        <v>2733.1337430747922</v>
      </c>
      <c r="AJ29">
        <f>E29*(E$1-$AF29)^2</f>
        <v>2435.7245065789475</v>
      </c>
      <c r="AK29">
        <f>F29*(F$1-$AF29)^2</f>
        <v>2344.1283760387814</v>
      </c>
      <c r="AL29">
        <f>G29*(G$1-$AF29)^2</f>
        <v>1911.9441655124656</v>
      </c>
      <c r="AM29">
        <f>H29*(H$1-$AF29)^2</f>
        <v>2147.1163002077565</v>
      </c>
      <c r="AN29">
        <f>I29*(I$1-$AF29)^2</f>
        <v>2091.0660924515237</v>
      </c>
      <c r="AO29">
        <f>J29*(J$1-$AF29)^2</f>
        <v>959.33621883656519</v>
      </c>
      <c r="AP29">
        <f>K29*(K$1-$AF29)^2</f>
        <v>1076.4490131578948</v>
      </c>
      <c r="AQ29">
        <f>L29*(L$1-$AF29)^2</f>
        <v>411.02311288088646</v>
      </c>
      <c r="AR29">
        <f>M29*(M$1-$AF29)^2</f>
        <v>408.41088123268702</v>
      </c>
      <c r="AS29">
        <f>N29*(N$1-$AF29)^2</f>
        <v>177.98203774238232</v>
      </c>
      <c r="AT29">
        <f>O29*(O$1-$AF29)^2</f>
        <v>43.716456024930764</v>
      </c>
      <c r="AU29">
        <f>P29*(P$1-$AF29)^2</f>
        <v>2.9097991689750744</v>
      </c>
      <c r="AV29">
        <f>Q29*(Q$1-$AF29)^2</f>
        <v>13.775536703601096</v>
      </c>
      <c r="AW29">
        <f>R29*(R$1-$AF29)^2</f>
        <v>137.90793801939051</v>
      </c>
      <c r="AX29">
        <f>S29*(S$1-$AF29)^2</f>
        <v>293.95814577562322</v>
      </c>
      <c r="AY29">
        <f>T29*(T$1-$AF29)^2</f>
        <v>608.62383137119105</v>
      </c>
      <c r="AZ29">
        <f>U29*(U$1-$AF29)^2</f>
        <v>831.44901315789457</v>
      </c>
      <c r="BA29">
        <f>V29*(V$1-$AF29)^2</f>
        <v>1321.655514196676</v>
      </c>
      <c r="BB29">
        <f>W29*(W$1-$AF29)^2</f>
        <v>1560.6767226454292</v>
      </c>
      <c r="BC29">
        <f>X29*(X$1-$AF29)^2</f>
        <v>1414.7046398891966</v>
      </c>
      <c r="BD29">
        <f>Y29*(Y$1-$AF29)^2</f>
        <v>2033.1348251385043</v>
      </c>
      <c r="BE29">
        <f>Z29*(Z$1-$AF29)^2</f>
        <v>1685.8179536011078</v>
      </c>
      <c r="BF29">
        <f>AA29*(AA$1-$AF29)^2</f>
        <v>2508.2599549861493</v>
      </c>
      <c r="BG29">
        <f>AB29*(AB$1-$AF29)^2</f>
        <v>1363.6707929362879</v>
      </c>
      <c r="BH29">
        <f>AC29*(AC$1-$AF29)^2</f>
        <v>1125.0563971606648</v>
      </c>
      <c r="BI29">
        <f>AD29*(AD$1-$AF29)^2</f>
        <v>748.31042243767308</v>
      </c>
      <c r="BJ29">
        <f>AE29*(AE$1-$AF29)^2</f>
        <v>1077.164343836565</v>
      </c>
      <c r="BK29">
        <f>SQRT(SUM(AG29:BJ29)/SUM(B29:AE29))</f>
        <v>6.740687507576081</v>
      </c>
      <c r="BL29">
        <f>_xlfn.FLOOR.MATH((AF29-BK29)/5)</f>
        <v>1</v>
      </c>
    </row>
    <row r="30" spans="1:64">
      <c r="A30" t="s">
        <v>303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1</v>
      </c>
      <c r="R30">
        <v>0</v>
      </c>
      <c r="S30">
        <v>2</v>
      </c>
      <c r="T30">
        <v>1</v>
      </c>
      <c r="U30">
        <v>1</v>
      </c>
      <c r="V30">
        <v>9</v>
      </c>
      <c r="W30">
        <v>24</v>
      </c>
      <c r="X30">
        <v>15</v>
      </c>
      <c r="Y30">
        <v>11</v>
      </c>
      <c r="Z30">
        <v>9</v>
      </c>
      <c r="AA30">
        <v>13</v>
      </c>
      <c r="AB30">
        <v>5</v>
      </c>
      <c r="AC30">
        <v>0</v>
      </c>
      <c r="AD30">
        <v>0</v>
      </c>
      <c r="AE30">
        <v>1</v>
      </c>
      <c r="AF30">
        <f>SUMPRODUCT($B$1:$AE$1,B30:AE30)/SUM(B30:AE30)</f>
        <v>23.204301075268816</v>
      </c>
      <c r="AG30">
        <f>B30*(B$1-$AF30)^2</f>
        <v>0</v>
      </c>
      <c r="AH30">
        <f>C30*(C$1-$AF30)^2</f>
        <v>0</v>
      </c>
      <c r="AI30">
        <f>D30*(D$1-$AF30)^2</f>
        <v>0</v>
      </c>
      <c r="AJ30">
        <f>E30*(E$1-$AF30)^2</f>
        <v>0</v>
      </c>
      <c r="AK30">
        <f>F30*(F$1-$AF30)^2</f>
        <v>0</v>
      </c>
      <c r="AL30">
        <f>G30*(G$1-$AF30)^2</f>
        <v>0</v>
      </c>
      <c r="AM30">
        <f>H30*(H$1-$AF30)^2</f>
        <v>0</v>
      </c>
      <c r="AN30">
        <f>I30*(I$1-$AF30)^2</f>
        <v>0</v>
      </c>
      <c r="AO30">
        <f>J30*(J$1-$AF30)^2</f>
        <v>0</v>
      </c>
      <c r="AP30">
        <f>K30*(K$1-$AF30)^2</f>
        <v>0</v>
      </c>
      <c r="AQ30">
        <f>L30*(L$1-$AF30)^2</f>
        <v>0</v>
      </c>
      <c r="AR30">
        <f>M30*(M$1-$AF30)^2</f>
        <v>0</v>
      </c>
      <c r="AS30">
        <f>N30*(N$1-$AF30)^2</f>
        <v>104.12776043473232</v>
      </c>
      <c r="AT30">
        <f>O30*(O$1-$AF30)^2</f>
        <v>0</v>
      </c>
      <c r="AU30">
        <f>P30*(P$1-$AF30)^2</f>
        <v>0</v>
      </c>
      <c r="AV30">
        <f>Q30*(Q$1-$AF30)^2</f>
        <v>51.901953983119419</v>
      </c>
      <c r="AW30">
        <f>R30*(R$1-$AF30)^2</f>
        <v>0</v>
      </c>
      <c r="AX30">
        <f>S30*(S$1-$AF30)^2</f>
        <v>54.16949936408831</v>
      </c>
      <c r="AY30">
        <f>T30*(T$1-$AF30)^2</f>
        <v>17.676147531506523</v>
      </c>
      <c r="AZ30">
        <f>U30*(U$1-$AF30)^2</f>
        <v>10.267545380968892</v>
      </c>
      <c r="BA30">
        <f>V30*(V$1-$AF30)^2</f>
        <v>43.73048907388133</v>
      </c>
      <c r="BB30">
        <f>W30*(W$1-$AF30)^2</f>
        <v>34.808185917447041</v>
      </c>
      <c r="BC30">
        <f>X30*(X$1-$AF30)^2</f>
        <v>0.62608394033991721</v>
      </c>
      <c r="BD30">
        <f>Y30*(Y$1-$AF30)^2</f>
        <v>6.9645045670019838</v>
      </c>
      <c r="BE30">
        <f>Z30*(Z$1-$AF30)^2</f>
        <v>29.020811654526568</v>
      </c>
      <c r="BF30">
        <f>AA30*(AA$1-$AF30)^2</f>
        <v>101.60712221066026</v>
      </c>
      <c r="BG30">
        <f>AB30*(AB$1-$AF30)^2</f>
        <v>72.036651636027329</v>
      </c>
      <c r="BH30">
        <f>AC30*(AC$1-$AF30)^2</f>
        <v>0</v>
      </c>
      <c r="BI30">
        <f>AD30*(AD$1-$AF30)^2</f>
        <v>0</v>
      </c>
      <c r="BJ30">
        <f>AE30*(AE$1-$AF30)^2</f>
        <v>46.181523875592568</v>
      </c>
      <c r="BK30">
        <f>SQRT(SUM(AG30:BJ30)/SUM(B30:AE30))</f>
        <v>2.4824508345409022</v>
      </c>
      <c r="BL30">
        <f>_xlfn.FLOOR.MATH((AF30-BK30)/5)</f>
        <v>4</v>
      </c>
    </row>
    <row r="31" spans="1:64">
      <c r="A31" t="s">
        <v>304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7</v>
      </c>
      <c r="W31">
        <v>19</v>
      </c>
      <c r="X31">
        <v>13</v>
      </c>
      <c r="Y31">
        <v>8</v>
      </c>
      <c r="Z31">
        <v>8</v>
      </c>
      <c r="AA31">
        <v>11</v>
      </c>
      <c r="AB31">
        <v>5</v>
      </c>
      <c r="AC31">
        <v>0</v>
      </c>
      <c r="AD31">
        <v>0</v>
      </c>
      <c r="AE31">
        <v>1</v>
      </c>
      <c r="AF31">
        <f>SUMPRODUCT($B$1:$AE$1,B31:AE31)/SUM(B31:AE31)</f>
        <v>23.657534246575342</v>
      </c>
      <c r="AG31">
        <f>B31*(B$1-$AF31)^2</f>
        <v>0</v>
      </c>
      <c r="AH31">
        <f>C31*(C$1-$AF31)^2</f>
        <v>0</v>
      </c>
      <c r="AI31">
        <f>D31*(D$1-$AF31)^2</f>
        <v>0</v>
      </c>
      <c r="AJ31">
        <f>E31*(E$1-$AF31)^2</f>
        <v>0</v>
      </c>
      <c r="AK31">
        <f>F31*(F$1-$AF31)^2</f>
        <v>0</v>
      </c>
      <c r="AL31">
        <f>G31*(G$1-$AF31)^2</f>
        <v>0</v>
      </c>
      <c r="AM31">
        <f>H31*(H$1-$AF31)^2</f>
        <v>0</v>
      </c>
      <c r="AN31">
        <f>I31*(I$1-$AF31)^2</f>
        <v>0</v>
      </c>
      <c r="AO31">
        <f>J31*(J$1-$AF31)^2</f>
        <v>0</v>
      </c>
      <c r="AP31">
        <f>K31*(K$1-$AF31)^2</f>
        <v>0</v>
      </c>
      <c r="AQ31">
        <f>L31*(L$1-$AF31)^2</f>
        <v>0</v>
      </c>
      <c r="AR31">
        <f>M31*(M$1-$AF31)^2</f>
        <v>0</v>
      </c>
      <c r="AS31">
        <f>N31*(N$1-$AF31)^2</f>
        <v>0</v>
      </c>
      <c r="AT31">
        <f>O31*(O$1-$AF31)^2</f>
        <v>0</v>
      </c>
      <c r="AU31">
        <f>P31*(P$1-$AF31)^2</f>
        <v>0</v>
      </c>
      <c r="AV31">
        <f>Q31*(Q$1-$AF31)^2</f>
        <v>0</v>
      </c>
      <c r="AW31">
        <f>R31*(R$1-$AF31)^2</f>
        <v>0</v>
      </c>
      <c r="AX31">
        <f>S31*(S$1-$AF31)^2</f>
        <v>0</v>
      </c>
      <c r="AY31">
        <f>T31*(T$1-$AF31)^2</f>
        <v>0</v>
      </c>
      <c r="AZ31">
        <f>U31*(U$1-$AF31)^2</f>
        <v>13.377556764871452</v>
      </c>
      <c r="BA31">
        <f>V31*(V$1-$AF31)^2</f>
        <v>49.437417902045382</v>
      </c>
      <c r="BB31">
        <f>W31*(W$1-$AF31)^2</f>
        <v>52.20097579283162</v>
      </c>
      <c r="BC31">
        <f>X31*(X$1-$AF31)^2</f>
        <v>5.620566710452227</v>
      </c>
      <c r="BD31">
        <f>Y31*(Y$1-$AF31)^2</f>
        <v>0.93826233814975168</v>
      </c>
      <c r="BE31">
        <f>Z31*(Z$1-$AF31)^2</f>
        <v>14.417714392944287</v>
      </c>
      <c r="BF31">
        <f>AA31*(AA$1-$AF31)^2</f>
        <v>60.358603865640887</v>
      </c>
      <c r="BG31">
        <f>AB31*(AB$1-$AF31)^2</f>
        <v>55.860386564083349</v>
      </c>
      <c r="BH31">
        <f>AC31*(AC$1-$AF31)^2</f>
        <v>0</v>
      </c>
      <c r="BI31">
        <f>AD31*(AD$1-$AF31)^2</f>
        <v>0</v>
      </c>
      <c r="BJ31">
        <f>AE31*(AE$1-$AF31)^2</f>
        <v>40.226871833364619</v>
      </c>
      <c r="BK31">
        <f>SQRT(SUM(AG31:BJ31)/SUM(B31:AE31))</f>
        <v>2.0015006567483704</v>
      </c>
      <c r="BL31">
        <f>_xlfn.FLOOR.MATH((AF31-BK31)/5)</f>
        <v>4</v>
      </c>
    </row>
    <row r="32" spans="1:64">
      <c r="A32" t="s">
        <v>305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0</v>
      </c>
      <c r="Z32">
        <v>1</v>
      </c>
      <c r="AA32">
        <v>0</v>
      </c>
      <c r="AB32">
        <v>2</v>
      </c>
      <c r="AC32">
        <v>0</v>
      </c>
      <c r="AD32">
        <v>0</v>
      </c>
      <c r="AE32">
        <v>0</v>
      </c>
      <c r="AF32">
        <f>SUMPRODUCT($B$1:$AE$1,B32:AE32)/SUM(B32:AE32)</f>
        <v>25.5</v>
      </c>
      <c r="AG32">
        <f>B32*(B$1-$AF32)^2</f>
        <v>0</v>
      </c>
      <c r="AH32">
        <f>C32*(C$1-$AF32)^2</f>
        <v>0</v>
      </c>
      <c r="AI32">
        <f>D32*(D$1-$AF32)^2</f>
        <v>0</v>
      </c>
      <c r="AJ32">
        <f>E32*(E$1-$AF32)^2</f>
        <v>0</v>
      </c>
      <c r="AK32">
        <f>F32*(F$1-$AF32)^2</f>
        <v>0</v>
      </c>
      <c r="AL32">
        <f>G32*(G$1-$AF32)^2</f>
        <v>0</v>
      </c>
      <c r="AM32">
        <f>H32*(H$1-$AF32)^2</f>
        <v>0</v>
      </c>
      <c r="AN32">
        <f>I32*(I$1-$AF32)^2</f>
        <v>0</v>
      </c>
      <c r="AO32">
        <f>J32*(J$1-$AF32)^2</f>
        <v>0</v>
      </c>
      <c r="AP32">
        <f>K32*(K$1-$AF32)^2</f>
        <v>0</v>
      </c>
      <c r="AQ32">
        <f>L32*(L$1-$AF32)^2</f>
        <v>0</v>
      </c>
      <c r="AR32">
        <f>M32*(M$1-$AF32)^2</f>
        <v>0</v>
      </c>
      <c r="AS32">
        <f>N32*(N$1-$AF32)^2</f>
        <v>0</v>
      </c>
      <c r="AT32">
        <f>O32*(O$1-$AF32)^2</f>
        <v>0</v>
      </c>
      <c r="AU32">
        <f>P32*(P$1-$AF32)^2</f>
        <v>0</v>
      </c>
      <c r="AV32">
        <f>Q32*(Q$1-$AF32)^2</f>
        <v>0</v>
      </c>
      <c r="AW32">
        <f>R32*(R$1-$AF32)^2</f>
        <v>0</v>
      </c>
      <c r="AX32">
        <f>S32*(S$1-$AF32)^2</f>
        <v>0</v>
      </c>
      <c r="AY32">
        <f>T32*(T$1-$AF32)^2</f>
        <v>0</v>
      </c>
      <c r="AZ32">
        <f>U32*(U$1-$AF32)^2</f>
        <v>0</v>
      </c>
      <c r="BA32">
        <f>V32*(V$1-$AF32)^2</f>
        <v>0</v>
      </c>
      <c r="BB32">
        <f>W32*(W$1-$AF32)^2</f>
        <v>0</v>
      </c>
      <c r="BC32">
        <f>X32*(X$1-$AF32)^2</f>
        <v>6.25</v>
      </c>
      <c r="BD32">
        <f>Y32*(Y$1-$AF32)^2</f>
        <v>0</v>
      </c>
      <c r="BE32">
        <f>Z32*(Z$1-$AF32)^2</f>
        <v>0.25</v>
      </c>
      <c r="BF32">
        <f>AA32*(AA$1-$AF32)^2</f>
        <v>0</v>
      </c>
      <c r="BG32">
        <f>AB32*(AB$1-$AF32)^2</f>
        <v>4.5</v>
      </c>
      <c r="BH32">
        <f>AC32*(AC$1-$AF32)^2</f>
        <v>0</v>
      </c>
      <c r="BI32">
        <f>AD32*(AD$1-$AF32)^2</f>
        <v>0</v>
      </c>
      <c r="BJ32">
        <f>AE32*(AE$1-$AF32)^2</f>
        <v>0</v>
      </c>
      <c r="BK32">
        <f>SQRT(SUM(AG32:BJ32)/SUM(B32:AE32))</f>
        <v>1.6583123951776999</v>
      </c>
      <c r="BL32">
        <f>_xlfn.FLOOR.MATH((AF32-BK32)/5)</f>
        <v>4</v>
      </c>
    </row>
    <row r="33" spans="1:64">
      <c r="A33" t="s">
        <v>306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1</v>
      </c>
      <c r="S33">
        <v>2</v>
      </c>
      <c r="T33">
        <v>6</v>
      </c>
      <c r="U33">
        <v>7</v>
      </c>
      <c r="V33">
        <v>20</v>
      </c>
      <c r="W33">
        <v>17</v>
      </c>
      <c r="X33">
        <v>18</v>
      </c>
      <c r="Y33">
        <v>10</v>
      </c>
      <c r="Z33">
        <v>2</v>
      </c>
      <c r="AA33">
        <v>5</v>
      </c>
      <c r="AB33">
        <v>4</v>
      </c>
      <c r="AC33">
        <v>0</v>
      </c>
      <c r="AD33">
        <v>0</v>
      </c>
      <c r="AE33">
        <v>1</v>
      </c>
      <c r="AF33">
        <f>SUMPRODUCT($B$1:$AE$1,B33:AE33)/SUM(B33:AE33)</f>
        <v>22.223404255319149</v>
      </c>
      <c r="AG33">
        <f>B33*(B$1-$AF33)^2</f>
        <v>0</v>
      </c>
      <c r="AH33">
        <f>C33*(C$1-$AF33)^2</f>
        <v>0</v>
      </c>
      <c r="AI33">
        <f>D33*(D$1-$AF33)^2</f>
        <v>0</v>
      </c>
      <c r="AJ33">
        <f>E33*(E$1-$AF33)^2</f>
        <v>0</v>
      </c>
      <c r="AK33">
        <f>F33*(F$1-$AF33)^2</f>
        <v>0</v>
      </c>
      <c r="AL33">
        <f>G33*(G$1-$AF33)^2</f>
        <v>0</v>
      </c>
      <c r="AM33">
        <f>H33*(H$1-$AF33)^2</f>
        <v>0</v>
      </c>
      <c r="AN33">
        <f>I33*(I$1-$AF33)^2</f>
        <v>0</v>
      </c>
      <c r="AO33">
        <f>J33*(J$1-$AF33)^2</f>
        <v>0</v>
      </c>
      <c r="AP33">
        <f>K33*(K$1-$AF33)^2</f>
        <v>0</v>
      </c>
      <c r="AQ33">
        <f>L33*(L$1-$AF33)^2</f>
        <v>0</v>
      </c>
      <c r="AR33">
        <f>M33*(M$1-$AF33)^2</f>
        <v>0</v>
      </c>
      <c r="AS33">
        <f>N33*(N$1-$AF33)^2</f>
        <v>0</v>
      </c>
      <c r="AT33">
        <f>O33*(O$1-$AF33)^2</f>
        <v>0</v>
      </c>
      <c r="AU33">
        <f>P33*(P$1-$AF33)^2</f>
        <v>0</v>
      </c>
      <c r="AV33">
        <f>Q33*(Q$1-$AF33)^2</f>
        <v>38.730760525124495</v>
      </c>
      <c r="AW33">
        <f>R33*(R$1-$AF33)^2</f>
        <v>27.283952014486196</v>
      </c>
      <c r="AX33">
        <f>S33*(S$1-$AF33)^2</f>
        <v>35.674287007695796</v>
      </c>
      <c r="AY33">
        <f>T33*(T$1-$AF33)^2</f>
        <v>62.342009959257595</v>
      </c>
      <c r="AZ33">
        <f>U33*(U$1-$AF33)^2</f>
        <v>34.604685377999104</v>
      </c>
      <c r="BA33">
        <f>V33*(V$1-$AF33)^2</f>
        <v>29.934359438660046</v>
      </c>
      <c r="BB33">
        <f>W33*(W$1-$AF33)^2</f>
        <v>0.84846084200996208</v>
      </c>
      <c r="BC33">
        <f>X33*(X$1-$AF33)^2</f>
        <v>10.85581711181529</v>
      </c>
      <c r="BD33">
        <f>Y33*(Y$1-$AF33)^2</f>
        <v>31.562924400181064</v>
      </c>
      <c r="BE33">
        <f>Z33*(Z$1-$AF33)^2</f>
        <v>15.418967858759615</v>
      </c>
      <c r="BF33">
        <f>AA33*(AA$1-$AF33)^2</f>
        <v>71.313377093707544</v>
      </c>
      <c r="BG33">
        <f>AB33*(AB$1-$AF33)^2</f>
        <v>91.263467632412841</v>
      </c>
      <c r="BH33">
        <f>AC33*(AC$1-$AF33)^2</f>
        <v>0</v>
      </c>
      <c r="BI33">
        <f>AD33*(AD$1-$AF33)^2</f>
        <v>0</v>
      </c>
      <c r="BJ33">
        <f>AE33*(AE$1-$AF33)^2</f>
        <v>60.475441376188314</v>
      </c>
      <c r="BK33">
        <f>SQRT(SUM(AG33:BJ33)/SUM(B33:AE33))</f>
        <v>2.3299815327509821</v>
      </c>
      <c r="BL33">
        <f>_xlfn.FLOOR.MATH((AF33-BK33)/5)</f>
        <v>3</v>
      </c>
    </row>
    <row r="34" spans="1:64">
      <c r="A34" t="s">
        <v>307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3</v>
      </c>
      <c r="W34">
        <v>4</v>
      </c>
      <c r="X34">
        <v>2</v>
      </c>
      <c r="Y34">
        <v>1</v>
      </c>
      <c r="Z34">
        <v>2</v>
      </c>
      <c r="AA34">
        <v>1</v>
      </c>
      <c r="AB34">
        <v>1</v>
      </c>
      <c r="AC34">
        <v>0</v>
      </c>
      <c r="AD34">
        <v>1</v>
      </c>
      <c r="AE34">
        <v>0</v>
      </c>
      <c r="AF34">
        <f>SUMPRODUCT($B$1:$AE$1,B34:AE34)/SUM(B34:AE34)</f>
        <v>23.3125</v>
      </c>
      <c r="AG34">
        <f>B34*(B$1-$AF34)^2</f>
        <v>0</v>
      </c>
      <c r="AH34">
        <f>C34*(C$1-$AF34)^2</f>
        <v>0</v>
      </c>
      <c r="AI34">
        <f>D34*(D$1-$AF34)^2</f>
        <v>0</v>
      </c>
      <c r="AJ34">
        <f>E34*(E$1-$AF34)^2</f>
        <v>0</v>
      </c>
      <c r="AK34">
        <f>F34*(F$1-$AF34)^2</f>
        <v>0</v>
      </c>
      <c r="AL34">
        <f>G34*(G$1-$AF34)^2</f>
        <v>0</v>
      </c>
      <c r="AM34">
        <f>H34*(H$1-$AF34)^2</f>
        <v>0</v>
      </c>
      <c r="AN34">
        <f>I34*(I$1-$AF34)^2</f>
        <v>0</v>
      </c>
      <c r="AO34">
        <f>J34*(J$1-$AF34)^2</f>
        <v>0</v>
      </c>
      <c r="AP34">
        <f>K34*(K$1-$AF34)^2</f>
        <v>0</v>
      </c>
      <c r="AQ34">
        <f>L34*(L$1-$AF34)^2</f>
        <v>0</v>
      </c>
      <c r="AR34">
        <f>M34*(M$1-$AF34)^2</f>
        <v>0</v>
      </c>
      <c r="AS34">
        <f>N34*(N$1-$AF34)^2</f>
        <v>0</v>
      </c>
      <c r="AT34">
        <f>O34*(O$1-$AF34)^2</f>
        <v>0</v>
      </c>
      <c r="AU34">
        <f>P34*(P$1-$AF34)^2</f>
        <v>0</v>
      </c>
      <c r="AV34">
        <f>Q34*(Q$1-$AF34)^2</f>
        <v>0</v>
      </c>
      <c r="AW34">
        <f>R34*(R$1-$AF34)^2</f>
        <v>0</v>
      </c>
      <c r="AX34">
        <f>S34*(S$1-$AF34)^2</f>
        <v>0</v>
      </c>
      <c r="AY34">
        <f>T34*(T$1-$AF34)^2</f>
        <v>0</v>
      </c>
      <c r="AZ34">
        <f>U34*(U$1-$AF34)^2</f>
        <v>10.97265625</v>
      </c>
      <c r="BA34">
        <f>V34*(V$1-$AF34)^2</f>
        <v>16.04296875</v>
      </c>
      <c r="BB34">
        <f>W34*(W$1-$AF34)^2</f>
        <v>6.890625</v>
      </c>
      <c r="BC34">
        <f>X34*(X$1-$AF34)^2</f>
        <v>0.1953125</v>
      </c>
      <c r="BD34">
        <f>Y34*(Y$1-$AF34)^2</f>
        <v>0.47265625</v>
      </c>
      <c r="BE34">
        <f>Z34*(Z$1-$AF34)^2</f>
        <v>5.6953125</v>
      </c>
      <c r="BF34">
        <f>AA34*(AA$1-$AF34)^2</f>
        <v>7.22265625</v>
      </c>
      <c r="BG34">
        <f>AB34*(AB$1-$AF34)^2</f>
        <v>13.59765625</v>
      </c>
      <c r="BH34">
        <f>AC34*(AC$1-$AF34)^2</f>
        <v>0</v>
      </c>
      <c r="BI34">
        <f>AD34*(AD$1-$AF34)^2</f>
        <v>32.34765625</v>
      </c>
      <c r="BJ34">
        <f>AE34*(AE$1-$AF34)^2</f>
        <v>0</v>
      </c>
      <c r="BK34">
        <f>SQRT(SUM(AG34:BJ34)/SUM(B34:AE34))</f>
        <v>2.4165768661476505</v>
      </c>
      <c r="BL34">
        <f>_xlfn.FLOOR.MATH((AF34-BK34)/5)</f>
        <v>4</v>
      </c>
    </row>
    <row r="35" spans="1:64">
      <c r="A35" t="s">
        <v>308</v>
      </c>
      <c r="B35">
        <v>1</v>
      </c>
      <c r="C35">
        <v>2</v>
      </c>
      <c r="D35">
        <v>5</v>
      </c>
      <c r="E35">
        <v>5</v>
      </c>
      <c r="F35">
        <v>11</v>
      </c>
      <c r="G35">
        <v>11</v>
      </c>
      <c r="H35">
        <v>18</v>
      </c>
      <c r="I35">
        <v>24</v>
      </c>
      <c r="J35">
        <v>23</v>
      </c>
      <c r="K35">
        <v>31</v>
      </c>
      <c r="L35">
        <v>28</v>
      </c>
      <c r="M35">
        <v>37</v>
      </c>
      <c r="N35">
        <v>44</v>
      </c>
      <c r="O35">
        <v>45</v>
      </c>
      <c r="P35">
        <v>42</v>
      </c>
      <c r="Q35">
        <v>52</v>
      </c>
      <c r="R35">
        <v>55</v>
      </c>
      <c r="S35">
        <v>79</v>
      </c>
      <c r="T35">
        <v>53</v>
      </c>
      <c r="U35">
        <v>48</v>
      </c>
      <c r="V35">
        <v>43</v>
      </c>
      <c r="W35">
        <v>43</v>
      </c>
      <c r="X35">
        <v>40</v>
      </c>
      <c r="Y35">
        <v>22</v>
      </c>
      <c r="Z35">
        <v>18</v>
      </c>
      <c r="AA35">
        <v>18</v>
      </c>
      <c r="AB35">
        <v>9</v>
      </c>
      <c r="AC35">
        <v>4</v>
      </c>
      <c r="AD35">
        <v>3</v>
      </c>
      <c r="AE35">
        <v>1</v>
      </c>
      <c r="AF35">
        <f>SUMPRODUCT($B$1:$AE$1,B35:AE35)/SUM(B35:AE35)</f>
        <v>16.469938650306748</v>
      </c>
      <c r="AG35">
        <f>B35*(B$1-$AF35)^2</f>
        <v>239.31900184425456</v>
      </c>
      <c r="AH35">
        <f>C35*(C$1-$AF35)^2</f>
        <v>418.75824908728214</v>
      </c>
      <c r="AI35">
        <f>D35*(D$1-$AF35)^2</f>
        <v>907.1962362151379</v>
      </c>
      <c r="AJ35">
        <f>E35*(E$1-$AF35)^2</f>
        <v>777.49684971207046</v>
      </c>
      <c r="AK35">
        <f>F35*(F$1-$AF35)^2</f>
        <v>1447.1544190598063</v>
      </c>
      <c r="AL35">
        <f>G35*(G$1-$AF35)^2</f>
        <v>1205.8157687530579</v>
      </c>
      <c r="AM35">
        <f>H35*(H$1-$AF35)^2</f>
        <v>1614.2352847303248</v>
      </c>
      <c r="AN35">
        <f>I35*(I$1-$AF35)^2</f>
        <v>1721.7566577590424</v>
      </c>
      <c r="AO35">
        <f>J35*(J$1-$AF35)^2</f>
        <v>1283.3996191049716</v>
      </c>
      <c r="AP35">
        <f>K35*(K$1-$AF35)^2</f>
        <v>1297.6632903007262</v>
      </c>
      <c r="AQ35">
        <f>L35*(L$1-$AF35)^2</f>
        <v>837.76640746734904</v>
      </c>
      <c r="AR35">
        <f>M35*(M$1-$AF35)^2</f>
        <v>739.27300688772618</v>
      </c>
      <c r="AS35">
        <f>N35*(N$1-$AF35)^2</f>
        <v>529.78086642327503</v>
      </c>
      <c r="AT35">
        <f>O35*(O$1-$AF35)^2</f>
        <v>274.52686213256038</v>
      </c>
      <c r="AU35">
        <f>P35*(P$1-$AF35)^2</f>
        <v>90.750224697956213</v>
      </c>
      <c r="AV35">
        <f>Q35*(Q$1-$AF35)^2</f>
        <v>11.483801422710654</v>
      </c>
      <c r="AW35">
        <f>R35*(R$1-$AF35)^2</f>
        <v>15.453076894124761</v>
      </c>
      <c r="AX35">
        <f>S35*(S$1-$AF35)^2</f>
        <v>184.94593097218575</v>
      </c>
      <c r="AY35">
        <f>T35*(T$1-$AF35)^2</f>
        <v>339.2641529602169</v>
      </c>
      <c r="AZ35">
        <f>U35*(U$1-$AF35)^2</f>
        <v>598.14399036471093</v>
      </c>
      <c r="BA35">
        <f>V35*(V$1-$AF35)^2</f>
        <v>882.4226007753399</v>
      </c>
      <c r="BB35">
        <f>W35*(W$1-$AF35)^2</f>
        <v>1315.0078768489595</v>
      </c>
      <c r="BC35">
        <f>X35*(X$1-$AF35)^2</f>
        <v>1705.6680492303062</v>
      </c>
      <c r="BD35">
        <f>Y35*(Y$1-$AF35)^2</f>
        <v>1247.4401264631715</v>
      </c>
      <c r="BE35">
        <f>Z35*(Z$1-$AF35)^2</f>
        <v>1309.7150393315521</v>
      </c>
      <c r="BF35">
        <f>AA35*(AA$1-$AF35)^2</f>
        <v>1634.7972479205091</v>
      </c>
      <c r="BG35">
        <f>AB35*(AB$1-$AF35)^2</f>
        <v>997.93972825473315</v>
      </c>
      <c r="BH35">
        <f>AC35*(AC$1-$AF35)^2</f>
        <v>531.76925891076075</v>
      </c>
      <c r="BI35">
        <f>AD35*(AD$1-$AF35)^2</f>
        <v>471.00731228123004</v>
      </c>
      <c r="BJ35">
        <f>AE35*(AE$1-$AF35)^2</f>
        <v>183.06256012646318</v>
      </c>
      <c r="BK35">
        <f>SQRT(SUM(AG35:BJ35)/SUM(B35:AE35))</f>
        <v>5.5177364320579443</v>
      </c>
      <c r="BL35">
        <f>_xlfn.FLOOR.MATH((AF35-BK35)/5)</f>
        <v>2</v>
      </c>
    </row>
    <row r="36" spans="1:64">
      <c r="A36" t="s">
        <v>309</v>
      </c>
      <c r="B36">
        <v>0</v>
      </c>
      <c r="C36">
        <v>0</v>
      </c>
      <c r="D36">
        <v>3</v>
      </c>
      <c r="E36">
        <v>8</v>
      </c>
      <c r="F36">
        <v>19</v>
      </c>
      <c r="G36">
        <v>21</v>
      </c>
      <c r="H36">
        <v>23</v>
      </c>
      <c r="I36">
        <v>32</v>
      </c>
      <c r="J36">
        <v>23</v>
      </c>
      <c r="K36">
        <v>31</v>
      </c>
      <c r="L36">
        <v>37</v>
      </c>
      <c r="M36">
        <v>46</v>
      </c>
      <c r="N36">
        <v>49</v>
      </c>
      <c r="O36">
        <v>51</v>
      </c>
      <c r="P36">
        <v>53</v>
      </c>
      <c r="Q36">
        <v>64</v>
      </c>
      <c r="R36">
        <v>59</v>
      </c>
      <c r="S36">
        <v>65</v>
      </c>
      <c r="T36">
        <v>56</v>
      </c>
      <c r="U36">
        <v>46</v>
      </c>
      <c r="V36">
        <v>44</v>
      </c>
      <c r="W36">
        <v>51</v>
      </c>
      <c r="X36">
        <v>28</v>
      </c>
      <c r="Y36">
        <v>17</v>
      </c>
      <c r="Z36">
        <v>26</v>
      </c>
      <c r="AA36">
        <v>13</v>
      </c>
      <c r="AB36">
        <v>7</v>
      </c>
      <c r="AC36">
        <v>5</v>
      </c>
      <c r="AD36">
        <v>4</v>
      </c>
      <c r="AE36">
        <v>3</v>
      </c>
      <c r="AF36">
        <f>SUMPRODUCT($B$1:$AE$1,B36:AE36)/SUM(B36:AE36)</f>
        <v>15.953619909502262</v>
      </c>
      <c r="AG36">
        <f>B36*(B$1-$AF36)^2</f>
        <v>0</v>
      </c>
      <c r="AH36">
        <f>C36*(C$1-$AF36)^2</f>
        <v>0</v>
      </c>
      <c r="AI36">
        <f>D36*(D$1-$AF36)^2</f>
        <v>503.38880627956013</v>
      </c>
      <c r="AJ36">
        <f>E36*(E$1-$AF36)^2</f>
        <v>1143.1122315267908</v>
      </c>
      <c r="AK36">
        <f>F36*(F$1-$AF36)^2</f>
        <v>2279.653993315042</v>
      </c>
      <c r="AL36">
        <f>G36*(G$1-$AF36)^2</f>
        <v>2080.5655353596362</v>
      </c>
      <c r="AM36">
        <f>H36*(H$1-$AF36)^2</f>
        <v>1843.8481181282116</v>
      </c>
      <c r="AN36">
        <f>I36*(I$1-$AF36)^2</f>
        <v>2024.3222292745845</v>
      </c>
      <c r="AO36">
        <f>J36*(J$1-$AF36)^2</f>
        <v>1112.1150864540036</v>
      </c>
      <c r="AP36">
        <f>K36*(K$1-$AF36)^2</f>
        <v>1098.8132908314733</v>
      </c>
      <c r="AQ36">
        <f>L36*(L$1-$AF36)^2</f>
        <v>907.91895768923621</v>
      </c>
      <c r="AR36">
        <f>M36*(M$1-$AF36)^2</f>
        <v>719.03107788538296</v>
      </c>
      <c r="AS36">
        <f>N36*(N$1-$AF36)^2</f>
        <v>427.46965792059927</v>
      </c>
      <c r="AT36">
        <f>O36*(O$1-$AF36)^2</f>
        <v>194.6481682909849</v>
      </c>
      <c r="AU36">
        <f>P36*(P$1-$AF36)^2</f>
        <v>48.197719385352393</v>
      </c>
      <c r="AV36">
        <f>Q36*(Q$1-$AF36)^2</f>
        <v>0.13767121885301714</v>
      </c>
      <c r="AW36">
        <f>R36*(R$1-$AF36)^2</f>
        <v>64.599766333613246</v>
      </c>
      <c r="AX36">
        <f>S36*(S$1-$AF36)^2</f>
        <v>272.19864586105956</v>
      </c>
      <c r="AY36">
        <f>T36*(T$1-$AF36)^2</f>
        <v>519.70417272373652</v>
      </c>
      <c r="AZ36">
        <f>U36*(U$1-$AF36)^2</f>
        <v>753.16682449171833</v>
      </c>
      <c r="BA36">
        <f>V36*(V$1-$AF36)^2</f>
        <v>1120.5018887819663</v>
      </c>
      <c r="BB36">
        <f>W36*(W$1-$AF36)^2</f>
        <v>1864.4943221371393</v>
      </c>
      <c r="BC36">
        <f>X36*(X$1-$AF36)^2</f>
        <v>1390.2412266333615</v>
      </c>
      <c r="BD36">
        <f>Y36*(Y$1-$AF36)^2</f>
        <v>1100.6519535328925</v>
      </c>
      <c r="BE36">
        <f>Z36*(Z$1-$AF36)^2</f>
        <v>2127.7618112856003</v>
      </c>
      <c r="BF36">
        <f>AA36*(AA$1-$AF36)^2</f>
        <v>1312.0867879957414</v>
      </c>
      <c r="BG36">
        <f>AB36*(AB$1-$AF36)^2</f>
        <v>854.1575917262137</v>
      </c>
      <c r="BH36">
        <f>AC36*(AC$1-$AF36)^2</f>
        <v>725.57636642370142</v>
      </c>
      <c r="BI36">
        <f>AD36*(AD$1-$AF36)^2</f>
        <v>680.83213386294312</v>
      </c>
      <c r="BJ36">
        <f>AE36*(AE$1-$AF36)^2</f>
        <v>591.90238094019378</v>
      </c>
      <c r="BK36">
        <f>SQRT(SUM(AG36:BJ36)/SUM(B36:AE36))</f>
        <v>5.6039234010191903</v>
      </c>
      <c r="BL36">
        <f>_xlfn.FLOOR.MATH((AF36-BK36)/5)</f>
        <v>2</v>
      </c>
    </row>
    <row r="37" spans="1:64">
      <c r="A37" t="s">
        <v>310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9</v>
      </c>
      <c r="R37">
        <v>12</v>
      </c>
      <c r="S37">
        <v>21</v>
      </c>
      <c r="T37">
        <v>15</v>
      </c>
      <c r="U37">
        <v>14</v>
      </c>
      <c r="V37">
        <v>18</v>
      </c>
      <c r="W37">
        <v>20</v>
      </c>
      <c r="X37">
        <v>16</v>
      </c>
      <c r="Y37">
        <v>14</v>
      </c>
      <c r="Z37">
        <v>7</v>
      </c>
      <c r="AA37">
        <v>10</v>
      </c>
      <c r="AB37">
        <v>3</v>
      </c>
      <c r="AC37">
        <v>1</v>
      </c>
      <c r="AD37">
        <v>1</v>
      </c>
      <c r="AE37">
        <v>1</v>
      </c>
      <c r="AF37">
        <f>SUMPRODUCT($B$1:$AE$1,B37:AE37)/SUM(B37:AE37)</f>
        <v>21.049079754601227</v>
      </c>
      <c r="AG37">
        <f>B37*(B$1-$AF37)^2</f>
        <v>0</v>
      </c>
      <c r="AH37">
        <f>C37*(C$1-$AF37)^2</f>
        <v>0</v>
      </c>
      <c r="AI37">
        <f>D37*(D$1-$AF37)^2</f>
        <v>0</v>
      </c>
      <c r="AJ37">
        <f>E37*(E$1-$AF37)^2</f>
        <v>0</v>
      </c>
      <c r="AK37">
        <f>F37*(F$1-$AF37)^2</f>
        <v>0</v>
      </c>
      <c r="AL37">
        <f>G37*(G$1-$AF37)^2</f>
        <v>0</v>
      </c>
      <c r="AM37">
        <f>H37*(H$1-$AF37)^2</f>
        <v>0</v>
      </c>
      <c r="AN37">
        <f>I37*(I$1-$AF37)^2</f>
        <v>0</v>
      </c>
      <c r="AO37">
        <f>J37*(J$1-$AF37)^2</f>
        <v>0</v>
      </c>
      <c r="AP37">
        <f>K37*(K$1-$AF37)^2</f>
        <v>0</v>
      </c>
      <c r="AQ37">
        <f>L37*(L$1-$AF37)^2</f>
        <v>0</v>
      </c>
      <c r="AR37">
        <f>M37*(M$1-$AF37)^2</f>
        <v>0</v>
      </c>
      <c r="AS37">
        <f>N37*(N$1-$AF37)^2</f>
        <v>0</v>
      </c>
      <c r="AT37">
        <f>O37*(O$1-$AF37)^2</f>
        <v>0</v>
      </c>
      <c r="AU37">
        <f>P37*(P$1-$AF37)^2</f>
        <v>36.591365877526435</v>
      </c>
      <c r="AV37">
        <f>Q37*(Q$1-$AF37)^2</f>
        <v>229.43885731491588</v>
      </c>
      <c r="AW37">
        <f>R37*(R$1-$AF37)^2</f>
        <v>196.74056230945837</v>
      </c>
      <c r="AX37">
        <f>S37*(S$1-$AF37)^2</f>
        <v>195.2346343483006</v>
      </c>
      <c r="AY37">
        <f>T37*(T$1-$AF37)^2</f>
        <v>62.980917610749351</v>
      </c>
      <c r="AZ37">
        <f>U37*(U$1-$AF37)^2</f>
        <v>15.407956641198382</v>
      </c>
      <c r="BA37">
        <f>V37*(V$1-$AF37)^2</f>
        <v>4.3358801610899417E-2</v>
      </c>
      <c r="BB37">
        <f>W37*(W$1-$AF37)^2</f>
        <v>18.084986262185264</v>
      </c>
      <c r="BC37">
        <f>X37*(X$1-$AF37)^2</f>
        <v>60.897436862508954</v>
      </c>
      <c r="BD37">
        <f>Y37*(Y$1-$AF37)^2</f>
        <v>121.91102412586099</v>
      </c>
      <c r="BE37">
        <f>Z37*(Z$1-$AF37)^2</f>
        <v>109.26839549851331</v>
      </c>
      <c r="BF37">
        <f>AA37*(AA$1-$AF37)^2</f>
        <v>245.1161127629945</v>
      </c>
      <c r="BG37">
        <f>AB37*(AB$1-$AF37)^2</f>
        <v>106.24035530129098</v>
      </c>
      <c r="BH37">
        <f>AC37*(AC$1-$AF37)^2</f>
        <v>48.315292257894541</v>
      </c>
      <c r="BI37">
        <f>AD37*(AD$1-$AF37)^2</f>
        <v>63.217132748692087</v>
      </c>
      <c r="BJ37">
        <f>AE37*(AE$1-$AF37)^2</f>
        <v>80.118973239489634</v>
      </c>
      <c r="BK37">
        <f>SQRT(SUM(AG37:BJ37)/SUM(B37:AE37))</f>
        <v>3.1228500451802272</v>
      </c>
      <c r="BL37">
        <f>_xlfn.FLOOR.MATH((AF37-BK37)/5)</f>
        <v>3</v>
      </c>
    </row>
    <row r="38" spans="1:64">
      <c r="A38" t="s">
        <v>311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2</v>
      </c>
      <c r="J38">
        <v>4</v>
      </c>
      <c r="K38">
        <v>3</v>
      </c>
      <c r="L38">
        <v>3</v>
      </c>
      <c r="M38">
        <v>5</v>
      </c>
      <c r="N38">
        <v>12</v>
      </c>
      <c r="O38">
        <v>5</v>
      </c>
      <c r="P38">
        <v>7</v>
      </c>
      <c r="Q38">
        <v>21</v>
      </c>
      <c r="R38">
        <v>22</v>
      </c>
      <c r="S38">
        <v>23</v>
      </c>
      <c r="T38">
        <v>25</v>
      </c>
      <c r="U38">
        <v>25</v>
      </c>
      <c r="V38">
        <v>15</v>
      </c>
      <c r="W38">
        <v>15</v>
      </c>
      <c r="X38">
        <v>7</v>
      </c>
      <c r="Y38">
        <v>2</v>
      </c>
      <c r="Z38">
        <v>2</v>
      </c>
      <c r="AA38">
        <v>2</v>
      </c>
      <c r="AB38">
        <v>3</v>
      </c>
      <c r="AC38">
        <v>0</v>
      </c>
      <c r="AD38">
        <v>1</v>
      </c>
      <c r="AE38">
        <v>0</v>
      </c>
      <c r="AF38">
        <f>SUMPRODUCT($B$1:$AE$1,B38:AE38)/SUM(B38:AE38)</f>
        <v>17.995098039215687</v>
      </c>
      <c r="AG38">
        <f>B38*(B$1-$AF38)^2</f>
        <v>0</v>
      </c>
      <c r="AH38">
        <f>C38*(C$1-$AF38)^2</f>
        <v>0</v>
      </c>
      <c r="AI38">
        <f>D38*(D$1-$AF38)^2</f>
        <v>0</v>
      </c>
      <c r="AJ38">
        <f>E38*(E$1-$AF38)^2</f>
        <v>0</v>
      </c>
      <c r="AK38">
        <f>F38*(F$1-$AF38)^2</f>
        <v>0</v>
      </c>
      <c r="AL38">
        <f>G38*(G$1-$AF38)^2</f>
        <v>0</v>
      </c>
      <c r="AM38">
        <f>H38*(H$1-$AF38)^2</f>
        <v>0</v>
      </c>
      <c r="AN38">
        <f>I38*(I$1-$AF38)^2</f>
        <v>199.80396962706655</v>
      </c>
      <c r="AO38">
        <f>J38*(J$1-$AF38)^2</f>
        <v>323.64715494040757</v>
      </c>
      <c r="AP38">
        <f>K38*(K$1-$AF38)^2</f>
        <v>191.76477797001158</v>
      </c>
      <c r="AQ38">
        <f>L38*(L$1-$AF38)^2</f>
        <v>146.79418973471746</v>
      </c>
      <c r="AR38">
        <f>M38*(M$1-$AF38)^2</f>
        <v>179.7060024990389</v>
      </c>
      <c r="AS38">
        <f>N38*(N$1-$AF38)^2</f>
        <v>299.41205305651681</v>
      </c>
      <c r="AT38">
        <f>O38*(O$1-$AF38)^2</f>
        <v>79.804041714725145</v>
      </c>
      <c r="AU38">
        <f>P38*(P$1-$AF38)^2</f>
        <v>62.794285851595582</v>
      </c>
      <c r="AV38">
        <f>Q38*(Q$1-$AF38)^2</f>
        <v>83.58873990772787</v>
      </c>
      <c r="AW38">
        <f>R38*(R$1-$AF38)^2</f>
        <v>21.784842368319918</v>
      </c>
      <c r="AX38">
        <f>S38*(S$1-$AF38)^2</f>
        <v>5.5267204921163741E-4</v>
      </c>
      <c r="AY38">
        <f>T38*(T$1-$AF38)^2</f>
        <v>25.245698769703917</v>
      </c>
      <c r="AZ38">
        <f>U38*(U$1-$AF38)^2</f>
        <v>100.49079680891954</v>
      </c>
      <c r="BA38">
        <f>V38*(V$1-$AF38)^2</f>
        <v>135.44153690888112</v>
      </c>
      <c r="BB38">
        <f>W38*(W$1-$AF38)^2</f>
        <v>240.58859573241051</v>
      </c>
      <c r="BC38">
        <f>X38*(X$1-$AF38)^2</f>
        <v>175.34330545943862</v>
      </c>
      <c r="BD38">
        <f>Y38*(Y$1-$AF38)^2</f>
        <v>72.117695117262571</v>
      </c>
      <c r="BE38">
        <f>Z38*(Z$1-$AF38)^2</f>
        <v>98.137302960399822</v>
      </c>
      <c r="BF38">
        <f>AA38*(AA$1-$AF38)^2</f>
        <v>128.15691080353707</v>
      </c>
      <c r="BG38">
        <f>AB38*(AB$1-$AF38)^2</f>
        <v>243.26477797001147</v>
      </c>
      <c r="BH38">
        <f>AC38*(AC$1-$AF38)^2</f>
        <v>0</v>
      </c>
      <c r="BI38">
        <f>AD38*(AD$1-$AF38)^2</f>
        <v>121.10786716647441</v>
      </c>
      <c r="BJ38">
        <f>AE38*(AE$1-$AF38)^2</f>
        <v>0</v>
      </c>
      <c r="BK38">
        <f>SQRT(SUM(AG38:BJ38)/SUM(B38:AE38))</f>
        <v>3.7891712956839743</v>
      </c>
      <c r="BL38">
        <f>_xlfn.FLOOR.MATH((AF38-BK38)/5)</f>
        <v>2</v>
      </c>
    </row>
    <row r="39" spans="1:64">
      <c r="A39" t="s">
        <v>312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  <c r="K39">
        <v>2</v>
      </c>
      <c r="L39">
        <v>0</v>
      </c>
      <c r="M39">
        <v>0</v>
      </c>
      <c r="N39">
        <v>0</v>
      </c>
      <c r="O39">
        <v>1</v>
      </c>
      <c r="P39">
        <v>1</v>
      </c>
      <c r="Q39">
        <v>1</v>
      </c>
      <c r="R39">
        <v>4</v>
      </c>
      <c r="S39">
        <v>2</v>
      </c>
      <c r="T39">
        <v>3</v>
      </c>
      <c r="U39">
        <v>3</v>
      </c>
      <c r="V39">
        <v>2</v>
      </c>
      <c r="W39">
        <v>9</v>
      </c>
      <c r="X39">
        <v>4</v>
      </c>
      <c r="Y39">
        <v>3</v>
      </c>
      <c r="Z39">
        <v>1</v>
      </c>
      <c r="AA39">
        <v>1</v>
      </c>
      <c r="AB39">
        <v>1</v>
      </c>
      <c r="AC39">
        <v>2</v>
      </c>
      <c r="AD39">
        <v>0</v>
      </c>
      <c r="AE39">
        <v>0</v>
      </c>
      <c r="AF39">
        <f>SUMPRODUCT($B$1:$AE$1,B39:AE39)/SUM(B39:AE39)</f>
        <v>20.26829268292683</v>
      </c>
      <c r="AG39">
        <f>B39*(B$1-$AF39)^2</f>
        <v>0</v>
      </c>
      <c r="AH39">
        <f>C39*(C$1-$AF39)^2</f>
        <v>0</v>
      </c>
      <c r="AI39">
        <f>D39*(D$1-$AF39)^2</f>
        <v>0</v>
      </c>
      <c r="AJ39">
        <f>E39*(E$1-$AF39)^2</f>
        <v>0</v>
      </c>
      <c r="AK39">
        <f>F39*(F$1-$AF39)^2</f>
        <v>0</v>
      </c>
      <c r="AL39">
        <f>G39*(G$1-$AF39)^2</f>
        <v>0</v>
      </c>
      <c r="AM39">
        <f>H39*(H$1-$AF39)^2</f>
        <v>176.04759071980968</v>
      </c>
      <c r="AN39">
        <f>I39*(I$1-$AF39)^2</f>
        <v>0</v>
      </c>
      <c r="AO39">
        <f>J39*(J$1-$AF39)^2</f>
        <v>0</v>
      </c>
      <c r="AP39">
        <f>K39*(K$1-$AF39)^2</f>
        <v>210.87566924449737</v>
      </c>
      <c r="AQ39">
        <f>L39*(L$1-$AF39)^2</f>
        <v>0</v>
      </c>
      <c r="AR39">
        <f>M39*(M$1-$AF39)^2</f>
        <v>0</v>
      </c>
      <c r="AS39">
        <f>N39*(N$1-$AF39)^2</f>
        <v>0</v>
      </c>
      <c r="AT39">
        <f>O39*(O$1-$AF39)^2</f>
        <v>39.291493158834044</v>
      </c>
      <c r="AU39">
        <f>P39*(P$1-$AF39)^2</f>
        <v>27.754907792980379</v>
      </c>
      <c r="AV39">
        <f>Q39*(Q$1-$AF39)^2</f>
        <v>18.218322427126719</v>
      </c>
      <c r="AW39">
        <f>R39*(R$1-$AF39)^2</f>
        <v>42.726948245092238</v>
      </c>
      <c r="AX39">
        <f>S39*(S$1-$AF39)^2</f>
        <v>10.290303390838798</v>
      </c>
      <c r="AY39">
        <f>T39*(T$1-$AF39)^2</f>
        <v>4.8256989886972121</v>
      </c>
      <c r="AZ39">
        <f>U39*(U$1-$AF39)^2</f>
        <v>0.21594289113623027</v>
      </c>
      <c r="BA39">
        <f>V39*(V$1-$AF39)^2</f>
        <v>1.0707911957168319</v>
      </c>
      <c r="BB39">
        <f>W39*(W$1-$AF39)^2</f>
        <v>26.989292088042795</v>
      </c>
      <c r="BC39">
        <f>X39*(X$1-$AF39)^2</f>
        <v>29.848899464604379</v>
      </c>
      <c r="BD39">
        <f>Y39*(Y$1-$AF39)^2</f>
        <v>41.7769185008923</v>
      </c>
      <c r="BE39">
        <f>Z39*(Z$1-$AF39)^2</f>
        <v>22.389054134443771</v>
      </c>
      <c r="BF39">
        <f>AA39*(AA$1-$AF39)^2</f>
        <v>32.852468768590114</v>
      </c>
      <c r="BG39">
        <f>AB39*(AB$1-$AF39)^2</f>
        <v>45.315883402736453</v>
      </c>
      <c r="BH39">
        <f>AC39*(AC$1-$AF39)^2</f>
        <v>119.55859607376559</v>
      </c>
      <c r="BI39">
        <f>AD39*(AD$1-$AF39)^2</f>
        <v>0</v>
      </c>
      <c r="BJ39">
        <f>AE39*(AE$1-$AF39)^2</f>
        <v>0</v>
      </c>
      <c r="BK39">
        <f>SQRT(SUM(AG39:BJ39)/SUM(B39:AE39))</f>
        <v>4.553339113778855</v>
      </c>
      <c r="BL39">
        <f>_xlfn.FLOOR.MATH((AF39-BK39)/5)</f>
        <v>3</v>
      </c>
    </row>
    <row r="40" spans="1:64">
      <c r="A40" t="s">
        <v>313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2</v>
      </c>
      <c r="L40">
        <v>2</v>
      </c>
      <c r="M40">
        <v>8</v>
      </c>
      <c r="N40">
        <v>18</v>
      </c>
      <c r="O40">
        <v>26</v>
      </c>
      <c r="P40">
        <v>15</v>
      </c>
      <c r="Q40">
        <v>11</v>
      </c>
      <c r="R40">
        <v>16</v>
      </c>
      <c r="S40">
        <v>17</v>
      </c>
      <c r="T40">
        <v>14</v>
      </c>
      <c r="U40">
        <v>11</v>
      </c>
      <c r="V40">
        <v>5</v>
      </c>
      <c r="W40">
        <v>10</v>
      </c>
      <c r="X40">
        <v>5</v>
      </c>
      <c r="Y40">
        <v>1</v>
      </c>
      <c r="Z40">
        <v>2</v>
      </c>
      <c r="AA40">
        <v>2</v>
      </c>
      <c r="AB40">
        <v>1</v>
      </c>
      <c r="AC40">
        <v>1</v>
      </c>
      <c r="AD40">
        <v>0</v>
      </c>
      <c r="AE40">
        <v>0</v>
      </c>
      <c r="AF40">
        <f>SUMPRODUCT($B$1:$AE$1,B40:AE40)/SUM(B40:AE40)</f>
        <v>16.898203592814372</v>
      </c>
      <c r="AG40">
        <f>B40*(B$1-$AF40)^2</f>
        <v>0</v>
      </c>
      <c r="AH40">
        <f>C40*(C$1-$AF40)^2</f>
        <v>0</v>
      </c>
      <c r="AI40">
        <f>D40*(D$1-$AF40)^2</f>
        <v>0</v>
      </c>
      <c r="AJ40">
        <f>E40*(E$1-$AF40)^2</f>
        <v>0</v>
      </c>
      <c r="AK40">
        <f>F40*(F$1-$AF40)^2</f>
        <v>0</v>
      </c>
      <c r="AL40">
        <f>G40*(G$1-$AF40)^2</f>
        <v>0</v>
      </c>
      <c r="AM40">
        <f>H40*(H$1-$AF40)^2</f>
        <v>0</v>
      </c>
      <c r="AN40">
        <f>I40*(I$1-$AF40)^2</f>
        <v>0</v>
      </c>
      <c r="AO40">
        <f>J40*(J$1-$AF40)^2</f>
        <v>0</v>
      </c>
      <c r="AP40">
        <f>K40*(K$1-$AF40)^2</f>
        <v>95.170425615834233</v>
      </c>
      <c r="AQ40">
        <f>L40*(L$1-$AF40)^2</f>
        <v>69.577611244576744</v>
      </c>
      <c r="AR40">
        <f>M40*(M$1-$AF40)^2</f>
        <v>191.93918749327702</v>
      </c>
      <c r="AS40">
        <f>N40*(N$1-$AF40)^2</f>
        <v>273.52784251855587</v>
      </c>
      <c r="AT40">
        <f>O40*(O$1-$AF40)^2</f>
        <v>218.38918570045553</v>
      </c>
      <c r="AU40">
        <f>P40*(P$1-$AF40)^2</f>
        <v>54.047653196600869</v>
      </c>
      <c r="AV40">
        <f>Q40*(Q$1-$AF40)^2</f>
        <v>8.8744666355911157</v>
      </c>
      <c r="AW40">
        <f>R40*(R$1-$AF40)^2</f>
        <v>0.16580013625443371</v>
      </c>
      <c r="AX40">
        <f>S40*(S$1-$AF40)^2</f>
        <v>20.637240489081677</v>
      </c>
      <c r="AY40">
        <f>T40*(T$1-$AF40)^2</f>
        <v>61.845673921617774</v>
      </c>
      <c r="AZ40">
        <f>U40*(U$1-$AF40)^2</f>
        <v>105.83255046792635</v>
      </c>
      <c r="BA40">
        <f>V40*(V$1-$AF40)^2</f>
        <v>84.123668830004618</v>
      </c>
      <c r="BB40">
        <f>W40*(W$1-$AF40)^2</f>
        <v>260.2832658037218</v>
      </c>
      <c r="BC40">
        <f>X40*(X$1-$AF40)^2</f>
        <v>186.15959697371719</v>
      </c>
      <c r="BD40">
        <f>Y40*(Y$1-$AF40)^2</f>
        <v>50.435512209114691</v>
      </c>
      <c r="BE40">
        <f>Z40*(Z$1-$AF40)^2</f>
        <v>131.27821004697188</v>
      </c>
      <c r="BF40">
        <f>AA40*(AA$1-$AF40)^2</f>
        <v>165.6853956757144</v>
      </c>
      <c r="BG40">
        <f>AB40*(AB$1-$AF40)^2</f>
        <v>102.04629065222845</v>
      </c>
      <c r="BH40">
        <f>AC40*(AC$1-$AF40)^2</f>
        <v>123.24988346659971</v>
      </c>
      <c r="BI40">
        <f>AD40*(AD$1-$AF40)^2</f>
        <v>0</v>
      </c>
      <c r="BJ40">
        <f>AE40*(AE$1-$AF40)^2</f>
        <v>0</v>
      </c>
      <c r="BK40">
        <f>SQRT(SUM(AG40:BJ40)/SUM(B40:AE40))</f>
        <v>3.6322486569417789</v>
      </c>
      <c r="BL40">
        <f>_xlfn.FLOOR.MATH((AF40-BK40)/5)</f>
        <v>2</v>
      </c>
    </row>
    <row r="41" spans="1:64">
      <c r="A41" t="s">
        <v>314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5</v>
      </c>
      <c r="Z41">
        <v>0</v>
      </c>
      <c r="AA41">
        <v>1</v>
      </c>
      <c r="AB41">
        <v>0</v>
      </c>
      <c r="AC41">
        <v>0</v>
      </c>
      <c r="AD41">
        <v>0</v>
      </c>
      <c r="AE41">
        <v>0</v>
      </c>
      <c r="AF41">
        <f>SUMPRODUCT($B$1:$AE$1,B41:AE41)/SUM(B41:AE41)</f>
        <v>24.333333333333332</v>
      </c>
      <c r="AG41">
        <f>B41*(B$1-$AF41)^2</f>
        <v>0</v>
      </c>
      <c r="AH41">
        <f>C41*(C$1-$AF41)^2</f>
        <v>0</v>
      </c>
      <c r="AI41">
        <f>D41*(D$1-$AF41)^2</f>
        <v>0</v>
      </c>
      <c r="AJ41">
        <f>E41*(E$1-$AF41)^2</f>
        <v>0</v>
      </c>
      <c r="AK41">
        <f>F41*(F$1-$AF41)^2</f>
        <v>0</v>
      </c>
      <c r="AL41">
        <f>G41*(G$1-$AF41)^2</f>
        <v>0</v>
      </c>
      <c r="AM41">
        <f>H41*(H$1-$AF41)^2</f>
        <v>0</v>
      </c>
      <c r="AN41">
        <f>I41*(I$1-$AF41)^2</f>
        <v>0</v>
      </c>
      <c r="AO41">
        <f>J41*(J$1-$AF41)^2</f>
        <v>0</v>
      </c>
      <c r="AP41">
        <f>K41*(K$1-$AF41)^2</f>
        <v>0</v>
      </c>
      <c r="AQ41">
        <f>L41*(L$1-$AF41)^2</f>
        <v>0</v>
      </c>
      <c r="AR41">
        <f>M41*(M$1-$AF41)^2</f>
        <v>0</v>
      </c>
      <c r="AS41">
        <f>N41*(N$1-$AF41)^2</f>
        <v>0</v>
      </c>
      <c r="AT41">
        <f>O41*(O$1-$AF41)^2</f>
        <v>0</v>
      </c>
      <c r="AU41">
        <f>P41*(P$1-$AF41)^2</f>
        <v>0</v>
      </c>
      <c r="AV41">
        <f>Q41*(Q$1-$AF41)^2</f>
        <v>0</v>
      </c>
      <c r="AW41">
        <f>R41*(R$1-$AF41)^2</f>
        <v>0</v>
      </c>
      <c r="AX41">
        <f>S41*(S$1-$AF41)^2</f>
        <v>0</v>
      </c>
      <c r="AY41">
        <f>T41*(T$1-$AF41)^2</f>
        <v>0</v>
      </c>
      <c r="AZ41">
        <f>U41*(U$1-$AF41)^2</f>
        <v>0</v>
      </c>
      <c r="BA41">
        <f>V41*(V$1-$AF41)^2</f>
        <v>0</v>
      </c>
      <c r="BB41">
        <f>W41*(W$1-$AF41)^2</f>
        <v>0</v>
      </c>
      <c r="BC41">
        <f>X41*(X$1-$AF41)^2</f>
        <v>0</v>
      </c>
      <c r="BD41">
        <f>Y41*(Y$1-$AF41)^2</f>
        <v>0.55555555555555158</v>
      </c>
      <c r="BE41">
        <f>Z41*(Z$1-$AF41)^2</f>
        <v>0</v>
      </c>
      <c r="BF41">
        <f>AA41*(AA$1-$AF41)^2</f>
        <v>2.7777777777777817</v>
      </c>
      <c r="BG41">
        <f>AB41*(AB$1-$AF41)^2</f>
        <v>0</v>
      </c>
      <c r="BH41">
        <f>AC41*(AC$1-$AF41)^2</f>
        <v>0</v>
      </c>
      <c r="BI41">
        <f>AD41*(AD$1-$AF41)^2</f>
        <v>0</v>
      </c>
      <c r="BJ41">
        <f>AE41*(AE$1-$AF41)^2</f>
        <v>0</v>
      </c>
      <c r="BK41">
        <f>SQRT(SUM(AG41:BJ41)/SUM(B41:AE41))</f>
        <v>0.74535599249992979</v>
      </c>
      <c r="BL41">
        <f>_xlfn.FLOOR.MATH((AF41-BK41)/5)</f>
        <v>4</v>
      </c>
    </row>
    <row r="42" spans="1:64">
      <c r="A42" t="s">
        <v>315</v>
      </c>
      <c r="B42">
        <v>0</v>
      </c>
      <c r="C42">
        <v>0</v>
      </c>
      <c r="D42">
        <v>0</v>
      </c>
      <c r="E42">
        <v>12</v>
      </c>
      <c r="F42">
        <v>21</v>
      </c>
      <c r="G42">
        <v>68</v>
      </c>
      <c r="H42">
        <v>135</v>
      </c>
      <c r="I42">
        <v>103</v>
      </c>
      <c r="J42">
        <v>89</v>
      </c>
      <c r="K42">
        <v>96</v>
      </c>
      <c r="L42">
        <v>106</v>
      </c>
      <c r="M42">
        <v>167</v>
      </c>
      <c r="N42">
        <v>155</v>
      </c>
      <c r="O42">
        <v>165</v>
      </c>
      <c r="P42">
        <v>146</v>
      </c>
      <c r="Q42">
        <v>192</v>
      </c>
      <c r="R42">
        <v>244</v>
      </c>
      <c r="S42">
        <v>249</v>
      </c>
      <c r="T42">
        <v>241</v>
      </c>
      <c r="U42">
        <v>232</v>
      </c>
      <c r="V42">
        <v>252</v>
      </c>
      <c r="W42">
        <v>238</v>
      </c>
      <c r="X42">
        <v>190</v>
      </c>
      <c r="Y42">
        <v>100</v>
      </c>
      <c r="Z42">
        <v>94</v>
      </c>
      <c r="AA42">
        <v>88</v>
      </c>
      <c r="AB42">
        <v>59</v>
      </c>
      <c r="AC42">
        <v>23</v>
      </c>
      <c r="AD42">
        <v>8</v>
      </c>
      <c r="AE42">
        <v>10</v>
      </c>
      <c r="AF42">
        <f>SUMPRODUCT($B$1:$AE$1,B42:AE42)/SUM(B42:AE42)</f>
        <v>17.054837783519954</v>
      </c>
      <c r="AG42">
        <f>B42*(B$1-$AF42)^2</f>
        <v>0</v>
      </c>
      <c r="AH42">
        <f>C42*(C$1-$AF42)^2</f>
        <v>0</v>
      </c>
      <c r="AI42">
        <f>D42*(D$1-$AF42)^2</f>
        <v>0</v>
      </c>
      <c r="AJ42">
        <f>E42*(E$1-$AF42)^2</f>
        <v>2045.145474648242</v>
      </c>
      <c r="AK42">
        <f>F42*(F$1-$AF42)^2</f>
        <v>3051.701393726586</v>
      </c>
      <c r="AL42">
        <f>G42*(G$1-$AF42)^2</f>
        <v>8310.2418125559452</v>
      </c>
      <c r="AM42">
        <f>H42*(H$1-$AF42)^2</f>
        <v>13648.467985141562</v>
      </c>
      <c r="AN42">
        <f>I42*(I$1-$AF42)^2</f>
        <v>8444.9789904436366</v>
      </c>
      <c r="AO42">
        <f>J42*(J$1-$AF42)^2</f>
        <v>5774.3566429750372</v>
      </c>
      <c r="AP42">
        <f>K42*(K$1-$AF42)^2</f>
        <v>4777.99067057095</v>
      </c>
      <c r="AQ42">
        <f>L42*(L$1-$AF42)^2</f>
        <v>3886.0724219825274</v>
      </c>
      <c r="AR42">
        <f>M42*(M$1-$AF42)^2</f>
        <v>4267.0812979560533</v>
      </c>
      <c r="AS42">
        <f>N42*(N$1-$AF42)^2</f>
        <v>2548.4649648524569</v>
      </c>
      <c r="AT42">
        <f>O42*(O$1-$AF42)^2</f>
        <v>1539.7855907974822</v>
      </c>
      <c r="AU42">
        <f>P42*(P$1-$AF42)^2</f>
        <v>616.4643142208547</v>
      </c>
      <c r="AV42">
        <f>Q42*(Q$1-$AF42)^2</f>
        <v>213.63508791192749</v>
      </c>
      <c r="AW42">
        <f>R42*(R$1-$AF42)^2</f>
        <v>0.73375253033704202</v>
      </c>
      <c r="AX42">
        <f>S42*(S$1-$AF42)^2</f>
        <v>222.43957224990694</v>
      </c>
      <c r="AY42">
        <f>T42*(T$1-$AF42)^2</f>
        <v>911.86110766959746</v>
      </c>
      <c r="AZ42">
        <f>U42*(U$1-$AF42)^2</f>
        <v>2012.3634716805448</v>
      </c>
      <c r="BA42">
        <f>V42*(V$1-$AF42)^2</f>
        <v>3922.2048384141212</v>
      </c>
      <c r="BB42">
        <f>W42*(W$1-$AF42)^2</f>
        <v>5820.2017846578383</v>
      </c>
      <c r="BC42">
        <f>X42*(X$1-$AF42)^2</f>
        <v>6715.5412182497666</v>
      </c>
      <c r="BD42">
        <f>Y42*(Y$1-$AF42)^2</f>
        <v>4823.5278213222027</v>
      </c>
      <c r="BE42">
        <f>Z42*(Z$1-$AF42)^2</f>
        <v>5933.8066487411188</v>
      </c>
      <c r="BF42">
        <f>AA42*(AA$1-$AF42)^2</f>
        <v>7041.401582964515</v>
      </c>
      <c r="BG42">
        <f>AB42*(AB$1-$AF42)^2</f>
        <v>5835.4688392140361</v>
      </c>
      <c r="BH42">
        <f>AC42*(AC$1-$AF42)^2</f>
        <v>2755.3212467364351</v>
      </c>
      <c r="BI42">
        <f>AD42*(AD$1-$AF42)^2</f>
        <v>1141.49520302418</v>
      </c>
      <c r="BJ42">
        <f>AE42*(AE$1-$AF42)^2</f>
        <v>1675.7722481098258</v>
      </c>
      <c r="BK42">
        <f>SQRT(SUM(AG42:BJ42)/SUM(B42:AE42))</f>
        <v>5.5668238689874467</v>
      </c>
      <c r="BL42">
        <f>_xlfn.FLOOR.MATH((AF42-BK42)/5)</f>
        <v>2</v>
      </c>
    </row>
    <row r="43" spans="1:64">
      <c r="A43" t="s">
        <v>316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1</v>
      </c>
      <c r="N43">
        <v>0</v>
      </c>
      <c r="O43">
        <v>1</v>
      </c>
      <c r="P43">
        <v>0</v>
      </c>
      <c r="Q43">
        <v>1</v>
      </c>
      <c r="R43">
        <v>0</v>
      </c>
      <c r="S43">
        <v>1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f>SUMPRODUCT($B$1:$AE$1,B43:AE43)/SUM(B43:AE43)</f>
        <v>14.5</v>
      </c>
      <c r="AG43">
        <f>B43*(B$1-$AF43)^2</f>
        <v>0</v>
      </c>
      <c r="AH43">
        <f>C43*(C$1-$AF43)^2</f>
        <v>0</v>
      </c>
      <c r="AI43">
        <f>D43*(D$1-$AF43)^2</f>
        <v>0</v>
      </c>
      <c r="AJ43">
        <f>E43*(E$1-$AF43)^2</f>
        <v>0</v>
      </c>
      <c r="AK43">
        <f>F43*(F$1-$AF43)^2</f>
        <v>0</v>
      </c>
      <c r="AL43">
        <f>G43*(G$1-$AF43)^2</f>
        <v>0</v>
      </c>
      <c r="AM43">
        <f>H43*(H$1-$AF43)^2</f>
        <v>0</v>
      </c>
      <c r="AN43">
        <f>I43*(I$1-$AF43)^2</f>
        <v>42.25</v>
      </c>
      <c r="AO43">
        <f>J43*(J$1-$AF43)^2</f>
        <v>0</v>
      </c>
      <c r="AP43">
        <f>K43*(K$1-$AF43)^2</f>
        <v>0</v>
      </c>
      <c r="AQ43">
        <f>L43*(L$1-$AF43)^2</f>
        <v>0</v>
      </c>
      <c r="AR43">
        <f>M43*(M$1-$AF43)^2</f>
        <v>6.25</v>
      </c>
      <c r="AS43">
        <f>N43*(N$1-$AF43)^2</f>
        <v>0</v>
      </c>
      <c r="AT43">
        <f>O43*(O$1-$AF43)^2</f>
        <v>0.25</v>
      </c>
      <c r="AU43">
        <f>P43*(P$1-$AF43)^2</f>
        <v>0</v>
      </c>
      <c r="AV43">
        <f>Q43*(Q$1-$AF43)^2</f>
        <v>2.25</v>
      </c>
      <c r="AW43">
        <f>R43*(R$1-$AF43)^2</f>
        <v>0</v>
      </c>
      <c r="AX43">
        <f>S43*(S$1-$AF43)^2</f>
        <v>12.25</v>
      </c>
      <c r="AY43">
        <f>T43*(T$1-$AF43)^2</f>
        <v>20.25</v>
      </c>
      <c r="AZ43">
        <f>U43*(U$1-$AF43)^2</f>
        <v>0</v>
      </c>
      <c r="BA43">
        <f>V43*(V$1-$AF43)^2</f>
        <v>0</v>
      </c>
      <c r="BB43">
        <f>W43*(W$1-$AF43)^2</f>
        <v>0</v>
      </c>
      <c r="BC43">
        <f>X43*(X$1-$AF43)^2</f>
        <v>0</v>
      </c>
      <c r="BD43">
        <f>Y43*(Y$1-$AF43)^2</f>
        <v>0</v>
      </c>
      <c r="BE43">
        <f>Z43*(Z$1-$AF43)^2</f>
        <v>0</v>
      </c>
      <c r="BF43">
        <f>AA43*(AA$1-$AF43)^2</f>
        <v>0</v>
      </c>
      <c r="BG43">
        <f>AB43*(AB$1-$AF43)^2</f>
        <v>0</v>
      </c>
      <c r="BH43">
        <f>AC43*(AC$1-$AF43)^2</f>
        <v>0</v>
      </c>
      <c r="BI43">
        <f>AD43*(AD$1-$AF43)^2</f>
        <v>0</v>
      </c>
      <c r="BJ43">
        <f>AE43*(AE$1-$AF43)^2</f>
        <v>0</v>
      </c>
      <c r="BK43">
        <f>SQRT(SUM(AG43:BJ43)/SUM(B43:AE43))</f>
        <v>3.730504880933232</v>
      </c>
      <c r="BL43">
        <f>_xlfn.FLOOR.MATH((AF43-BK43)/5)</f>
        <v>2</v>
      </c>
    </row>
    <row r="44" spans="1:64">
      <c r="A44" t="s">
        <v>317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0</v>
      </c>
      <c r="AB44">
        <v>0</v>
      </c>
      <c r="AC44">
        <v>3</v>
      </c>
      <c r="AD44">
        <v>1</v>
      </c>
      <c r="AE44">
        <v>0</v>
      </c>
      <c r="AF44">
        <f>SUMPRODUCT($B$1:$AE$1,B44:AE44)/SUM(B44:AE44)</f>
        <v>27</v>
      </c>
      <c r="AG44">
        <f>B44*(B$1-$AF44)^2</f>
        <v>0</v>
      </c>
      <c r="AH44">
        <f>C44*(C$1-$AF44)^2</f>
        <v>0</v>
      </c>
      <c r="AI44">
        <f>D44*(D$1-$AF44)^2</f>
        <v>0</v>
      </c>
      <c r="AJ44">
        <f>E44*(E$1-$AF44)^2</f>
        <v>0</v>
      </c>
      <c r="AK44">
        <f>F44*(F$1-$AF44)^2</f>
        <v>0</v>
      </c>
      <c r="AL44">
        <f>G44*(G$1-$AF44)^2</f>
        <v>0</v>
      </c>
      <c r="AM44">
        <f>H44*(H$1-$AF44)^2</f>
        <v>0</v>
      </c>
      <c r="AN44">
        <f>I44*(I$1-$AF44)^2</f>
        <v>0</v>
      </c>
      <c r="AO44">
        <f>J44*(J$1-$AF44)^2</f>
        <v>0</v>
      </c>
      <c r="AP44">
        <f>K44*(K$1-$AF44)^2</f>
        <v>0</v>
      </c>
      <c r="AQ44">
        <f>L44*(L$1-$AF44)^2</f>
        <v>0</v>
      </c>
      <c r="AR44">
        <f>M44*(M$1-$AF44)^2</f>
        <v>0</v>
      </c>
      <c r="AS44">
        <f>N44*(N$1-$AF44)^2</f>
        <v>0</v>
      </c>
      <c r="AT44">
        <f>O44*(O$1-$AF44)^2</f>
        <v>0</v>
      </c>
      <c r="AU44">
        <f>P44*(P$1-$AF44)^2</f>
        <v>0</v>
      </c>
      <c r="AV44">
        <f>Q44*(Q$1-$AF44)^2</f>
        <v>0</v>
      </c>
      <c r="AW44">
        <f>R44*(R$1-$AF44)^2</f>
        <v>0</v>
      </c>
      <c r="AX44">
        <f>S44*(S$1-$AF44)^2</f>
        <v>0</v>
      </c>
      <c r="AY44">
        <f>T44*(T$1-$AF44)^2</f>
        <v>0</v>
      </c>
      <c r="AZ44">
        <f>U44*(U$1-$AF44)^2</f>
        <v>0</v>
      </c>
      <c r="BA44">
        <f>V44*(V$1-$AF44)^2</f>
        <v>0</v>
      </c>
      <c r="BB44">
        <f>W44*(W$1-$AF44)^2</f>
        <v>0</v>
      </c>
      <c r="BC44">
        <f>X44*(X$1-$AF44)^2</f>
        <v>0</v>
      </c>
      <c r="BD44">
        <f>Y44*(Y$1-$AF44)^2</f>
        <v>9</v>
      </c>
      <c r="BE44">
        <f>Z44*(Z$1-$AF44)^2</f>
        <v>4</v>
      </c>
      <c r="BF44">
        <f>AA44*(AA$1-$AF44)^2</f>
        <v>0</v>
      </c>
      <c r="BG44">
        <f>AB44*(AB$1-$AF44)^2</f>
        <v>0</v>
      </c>
      <c r="BH44">
        <f>AC44*(AC$1-$AF44)^2</f>
        <v>3</v>
      </c>
      <c r="BI44">
        <f>AD44*(AD$1-$AF44)^2</f>
        <v>4</v>
      </c>
      <c r="BJ44">
        <f>AE44*(AE$1-$AF44)^2</f>
        <v>0</v>
      </c>
      <c r="BK44">
        <f>SQRT(SUM(AG44:BJ44)/SUM(B44:AE44))</f>
        <v>1.8257418583505538</v>
      </c>
      <c r="BL44">
        <f>_xlfn.FLOOR.MATH((AF44-BK44)/5)</f>
        <v>5</v>
      </c>
    </row>
    <row r="45" spans="1:64">
      <c r="A45" t="s">
        <v>318</v>
      </c>
      <c r="B45">
        <v>0</v>
      </c>
      <c r="C45">
        <v>0</v>
      </c>
      <c r="D45">
        <v>0</v>
      </c>
      <c r="E45">
        <v>0</v>
      </c>
      <c r="F45">
        <v>0</v>
      </c>
      <c r="G45">
        <v>2</v>
      </c>
      <c r="H45">
        <v>8</v>
      </c>
      <c r="I45">
        <v>10</v>
      </c>
      <c r="J45">
        <v>5</v>
      </c>
      <c r="K45">
        <v>2</v>
      </c>
      <c r="L45">
        <v>3</v>
      </c>
      <c r="M45">
        <v>4</v>
      </c>
      <c r="N45">
        <v>5</v>
      </c>
      <c r="O45">
        <v>2</v>
      </c>
      <c r="P45">
        <v>4</v>
      </c>
      <c r="Q45">
        <v>6</v>
      </c>
      <c r="R45">
        <v>9</v>
      </c>
      <c r="S45">
        <v>8</v>
      </c>
      <c r="T45">
        <v>6</v>
      </c>
      <c r="U45">
        <v>7</v>
      </c>
      <c r="V45">
        <v>11</v>
      </c>
      <c r="W45">
        <v>5</v>
      </c>
      <c r="X45">
        <v>3</v>
      </c>
      <c r="Y45">
        <v>3</v>
      </c>
      <c r="Z45">
        <v>2</v>
      </c>
      <c r="AA45">
        <v>2</v>
      </c>
      <c r="AB45">
        <v>1</v>
      </c>
      <c r="AC45">
        <v>0</v>
      </c>
      <c r="AD45">
        <v>0</v>
      </c>
      <c r="AE45">
        <v>0</v>
      </c>
      <c r="AF45">
        <f>SUMPRODUCT($B$1:$AE$1,B45:AE45)/SUM(B45:AE45)</f>
        <v>15.787037037037036</v>
      </c>
      <c r="AG45">
        <f>B45*(B$1-$AF45)^2</f>
        <v>0</v>
      </c>
      <c r="AH45">
        <f>C45*(C$1-$AF45)^2</f>
        <v>0</v>
      </c>
      <c r="AI45">
        <f>D45*(D$1-$AF45)^2</f>
        <v>0</v>
      </c>
      <c r="AJ45">
        <f>E45*(E$1-$AF45)^2</f>
        <v>0</v>
      </c>
      <c r="AK45">
        <f>F45*(F$1-$AF45)^2</f>
        <v>0</v>
      </c>
      <c r="AL45">
        <f>G45*(G$1-$AF45)^2</f>
        <v>191.57218792866939</v>
      </c>
      <c r="AM45">
        <f>H45*(H$1-$AF45)^2</f>
        <v>617.69615912208496</v>
      </c>
      <c r="AN45">
        <f>I45*(I$1-$AF45)^2</f>
        <v>606.37945816186539</v>
      </c>
      <c r="AO45">
        <f>J45*(J$1-$AF45)^2</f>
        <v>230.31935871056237</v>
      </c>
      <c r="AP45">
        <f>K45*(K$1-$AF45)^2</f>
        <v>66.979595336076798</v>
      </c>
      <c r="AQ45">
        <f>L45*(L$1-$AF45)^2</f>
        <v>68.747170781892976</v>
      </c>
      <c r="AR45">
        <f>M45*(M$1-$AF45)^2</f>
        <v>57.366598079561022</v>
      </c>
      <c r="AS45">
        <f>N45*(N$1-$AF45)^2</f>
        <v>38.83787722908091</v>
      </c>
      <c r="AT45">
        <f>O45*(O$1-$AF45)^2</f>
        <v>6.3870027434842198</v>
      </c>
      <c r="AU45">
        <f>P45*(P$1-$AF45)^2</f>
        <v>2.4777091906721491</v>
      </c>
      <c r="AV45">
        <f>Q45*(Q$1-$AF45)^2</f>
        <v>0.27211934156378786</v>
      </c>
      <c r="AW45">
        <f>R45*(R$1-$AF45)^2</f>
        <v>13.241512345679029</v>
      </c>
      <c r="AX45">
        <f>S45*(S$1-$AF45)^2</f>
        <v>39.177640603566552</v>
      </c>
      <c r="AY45">
        <f>T45*(T$1-$AF45)^2</f>
        <v>61.93878600823048</v>
      </c>
      <c r="AZ45">
        <f>U45*(U$1-$AF45)^2</f>
        <v>124.24339849108371</v>
      </c>
      <c r="BA45">
        <f>V45*(V$1-$AF45)^2</f>
        <v>298.92481138545958</v>
      </c>
      <c r="BB45">
        <f>W45*(W$1-$AF45)^2</f>
        <v>193.00454389574764</v>
      </c>
      <c r="BC45">
        <f>X45*(X$1-$AF45)^2</f>
        <v>156.08050411522638</v>
      </c>
      <c r="BD45">
        <f>Y45*(Y$1-$AF45)^2</f>
        <v>202.35828189300415</v>
      </c>
      <c r="BE45">
        <f>Z45*(Z$1-$AF45)^2</f>
        <v>169.75737311385461</v>
      </c>
      <c r="BF45">
        <f>AA45*(AA$1-$AF45)^2</f>
        <v>208.60922496570649</v>
      </c>
      <c r="BG45">
        <f>AB45*(AB$1-$AF45)^2</f>
        <v>125.73053840877917</v>
      </c>
      <c r="BH45">
        <f>AC45*(AC$1-$AF45)^2</f>
        <v>0</v>
      </c>
      <c r="BI45">
        <f>AD45*(AD$1-$AF45)^2</f>
        <v>0</v>
      </c>
      <c r="BJ45">
        <f>AE45*(AE$1-$AF45)^2</f>
        <v>0</v>
      </c>
      <c r="BK45">
        <f>SQRT(SUM(AG45:BJ45)/SUM(B45:AE45))</f>
        <v>5.6765451900715584</v>
      </c>
      <c r="BL45">
        <f>_xlfn.FLOOR.MATH((AF45-BK45)/5)</f>
        <v>2</v>
      </c>
    </row>
    <row r="46" spans="1:64">
      <c r="A46" t="s">
        <v>319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1</v>
      </c>
      <c r="S46">
        <v>3</v>
      </c>
      <c r="T46">
        <v>4</v>
      </c>
      <c r="U46">
        <v>5</v>
      </c>
      <c r="V46">
        <v>6</v>
      </c>
      <c r="W46">
        <v>4</v>
      </c>
      <c r="X46">
        <v>1</v>
      </c>
      <c r="Y46">
        <v>2</v>
      </c>
      <c r="Z46">
        <v>1</v>
      </c>
      <c r="AA46">
        <v>1</v>
      </c>
      <c r="AB46">
        <v>0</v>
      </c>
      <c r="AC46">
        <v>0</v>
      </c>
      <c r="AD46">
        <v>0</v>
      </c>
      <c r="AE46">
        <v>0</v>
      </c>
      <c r="AF46">
        <f>SUMPRODUCT($B$1:$AE$1,B46:AE46)/SUM(B46:AE46)</f>
        <v>20.655172413793103</v>
      </c>
      <c r="AG46">
        <f>B46*(B$1-$AF46)^2</f>
        <v>0</v>
      </c>
      <c r="AH46">
        <f>C46*(C$1-$AF46)^2</f>
        <v>0</v>
      </c>
      <c r="AI46">
        <f>D46*(D$1-$AF46)^2</f>
        <v>0</v>
      </c>
      <c r="AJ46">
        <f>E46*(E$1-$AF46)^2</f>
        <v>0</v>
      </c>
      <c r="AK46">
        <f>F46*(F$1-$AF46)^2</f>
        <v>0</v>
      </c>
      <c r="AL46">
        <f>G46*(G$1-$AF46)^2</f>
        <v>0</v>
      </c>
      <c r="AM46">
        <f>H46*(H$1-$AF46)^2</f>
        <v>0</v>
      </c>
      <c r="AN46">
        <f>I46*(I$1-$AF46)^2</f>
        <v>0</v>
      </c>
      <c r="AO46">
        <f>J46*(J$1-$AF46)^2</f>
        <v>0</v>
      </c>
      <c r="AP46">
        <f>K46*(K$1-$AF46)^2</f>
        <v>0</v>
      </c>
      <c r="AQ46">
        <f>L46*(L$1-$AF46)^2</f>
        <v>0</v>
      </c>
      <c r="AR46">
        <f>M46*(M$1-$AF46)^2</f>
        <v>0</v>
      </c>
      <c r="AS46">
        <f>N46*(N$1-$AF46)^2</f>
        <v>0</v>
      </c>
      <c r="AT46">
        <f>O46*(O$1-$AF46)^2</f>
        <v>0</v>
      </c>
      <c r="AU46">
        <f>P46*(P$1-$AF46)^2</f>
        <v>0</v>
      </c>
      <c r="AV46">
        <f>Q46*(Q$1-$AF46)^2</f>
        <v>21.670630202140305</v>
      </c>
      <c r="AW46">
        <f>R46*(R$1-$AF46)^2</f>
        <v>13.360285374554101</v>
      </c>
      <c r="AX46">
        <f>S46*(S$1-$AF46)^2</f>
        <v>21.149821640903681</v>
      </c>
      <c r="AY46">
        <f>T46*(T$1-$AF46)^2</f>
        <v>10.95838287752675</v>
      </c>
      <c r="AZ46">
        <f>U46*(U$1-$AF46)^2</f>
        <v>2.1462544589774062</v>
      </c>
      <c r="BA46">
        <f>V46*(V$1-$AF46)^2</f>
        <v>0.71343638525564901</v>
      </c>
      <c r="BB46">
        <f>W46*(W$1-$AF46)^2</f>
        <v>7.2342449464922733</v>
      </c>
      <c r="BC46">
        <f>X46*(X$1-$AF46)^2</f>
        <v>5.4982164090368624</v>
      </c>
      <c r="BD46">
        <f>Y46*(Y$1-$AF46)^2</f>
        <v>22.375743162901312</v>
      </c>
      <c r="BE46">
        <f>Z46*(Z$1-$AF46)^2</f>
        <v>18.877526753864448</v>
      </c>
      <c r="BF46">
        <f>AA46*(AA$1-$AF46)^2</f>
        <v>28.567181926278241</v>
      </c>
      <c r="BG46">
        <f>AB46*(AB$1-$AF46)^2</f>
        <v>0</v>
      </c>
      <c r="BH46">
        <f>AC46*(AC$1-$AF46)^2</f>
        <v>0</v>
      </c>
      <c r="BI46">
        <f>AD46*(AD$1-$AF46)^2</f>
        <v>0</v>
      </c>
      <c r="BJ46">
        <f>AE46*(AE$1-$AF46)^2</f>
        <v>0</v>
      </c>
      <c r="BK46">
        <f>SQRT(SUM(AG46:BJ46)/SUM(B46:AE46))</f>
        <v>2.2935571239056398</v>
      </c>
      <c r="BL46">
        <f>_xlfn.FLOOR.MATH((AF46-BK46)/5)</f>
        <v>3</v>
      </c>
    </row>
    <row r="47" spans="1:64">
      <c r="A47" t="s">
        <v>320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3</v>
      </c>
      <c r="I47">
        <v>10</v>
      </c>
      <c r="J47">
        <v>53</v>
      </c>
      <c r="K47">
        <v>62</v>
      </c>
      <c r="L47">
        <v>51</v>
      </c>
      <c r="M47">
        <v>75</v>
      </c>
      <c r="N47">
        <v>55</v>
      </c>
      <c r="O47">
        <v>67</v>
      </c>
      <c r="P47">
        <v>31</v>
      </c>
      <c r="Q47">
        <v>53</v>
      </c>
      <c r="R47">
        <v>47</v>
      </c>
      <c r="S47">
        <v>36</v>
      </c>
      <c r="T47">
        <v>48</v>
      </c>
      <c r="U47">
        <v>28</v>
      </c>
      <c r="V47">
        <v>21</v>
      </c>
      <c r="W47">
        <v>30</v>
      </c>
      <c r="X47">
        <v>29</v>
      </c>
      <c r="Y47">
        <v>11</v>
      </c>
      <c r="Z47">
        <v>16</v>
      </c>
      <c r="AA47">
        <v>13</v>
      </c>
      <c r="AB47">
        <v>8</v>
      </c>
      <c r="AC47">
        <v>1</v>
      </c>
      <c r="AD47">
        <v>2</v>
      </c>
      <c r="AE47">
        <v>0</v>
      </c>
      <c r="AF47">
        <f>SUMPRODUCT($B$1:$AE$1,B47:AE47)/SUM(B47:AE47)</f>
        <v>15.488</v>
      </c>
      <c r="AG47">
        <f>B47*(B$1-$AF47)^2</f>
        <v>0</v>
      </c>
      <c r="AH47">
        <f>C47*(C$1-$AF47)^2</f>
        <v>0</v>
      </c>
      <c r="AI47">
        <f>D47*(D$1-$AF47)^2</f>
        <v>0</v>
      </c>
      <c r="AJ47">
        <f>E47*(E$1-$AF47)^2</f>
        <v>0</v>
      </c>
      <c r="AK47">
        <f>F47*(F$1-$AF47)^2</f>
        <v>0</v>
      </c>
      <c r="AL47">
        <f>G47*(G$1-$AF47)^2</f>
        <v>0</v>
      </c>
      <c r="AM47">
        <f>H47*(H$1-$AF47)^2</f>
        <v>216.13843199999999</v>
      </c>
      <c r="AN47">
        <f>I47*(I$1-$AF47)^2</f>
        <v>560.70143999999993</v>
      </c>
      <c r="AO47">
        <f>J47*(J$1-$AF47)^2</f>
        <v>2230.9896319999998</v>
      </c>
      <c r="AP47">
        <f>K47*(K$1-$AF47)^2</f>
        <v>1867.3249279999995</v>
      </c>
      <c r="AQ47">
        <f>L47*(L$1-$AF47)^2</f>
        <v>1027.2493439999998</v>
      </c>
      <c r="AR47">
        <f>M47*(M$1-$AF47)^2</f>
        <v>912.46079999999984</v>
      </c>
      <c r="AS47">
        <f>N47*(N$1-$AF47)^2</f>
        <v>340.45791999999983</v>
      </c>
      <c r="AT47">
        <f>O47*(O$1-$AF47)^2</f>
        <v>148.34764799999991</v>
      </c>
      <c r="AU47">
        <f>P47*(P$1-$AF47)^2</f>
        <v>7.3824639999999864</v>
      </c>
      <c r="AV47">
        <f>Q47*(Q$1-$AF47)^2</f>
        <v>13.893632000000025</v>
      </c>
      <c r="AW47">
        <f>R47*(R$1-$AF47)^2</f>
        <v>107.44876800000007</v>
      </c>
      <c r="AX47">
        <f>S47*(S$1-$AF47)^2</f>
        <v>227.16518400000007</v>
      </c>
      <c r="AY47">
        <f>T47*(T$1-$AF47)^2</f>
        <v>592.03891200000021</v>
      </c>
      <c r="AZ47">
        <f>U47*(U$1-$AF47)^2</f>
        <v>570.02803200000005</v>
      </c>
      <c r="BA47">
        <f>V47*(V$1-$AF47)^2</f>
        <v>638.02502400000003</v>
      </c>
      <c r="BB47">
        <f>W47*(W$1-$AF47)^2</f>
        <v>1272.1843200000001</v>
      </c>
      <c r="BC47">
        <f>X47*(X$1-$AF47)^2</f>
        <v>1636.4741760000002</v>
      </c>
      <c r="BD47">
        <f>Y47*(Y$1-$AF47)^2</f>
        <v>796.99558400000012</v>
      </c>
      <c r="BE47">
        <f>Z47*(Z$1-$AF47)^2</f>
        <v>1447.6503040000002</v>
      </c>
      <c r="BF47">
        <f>AA47*(AA$1-$AF47)^2</f>
        <v>1436.5278720000001</v>
      </c>
      <c r="BG47">
        <f>AB47*(AB$1-$AF47)^2</f>
        <v>1060.2091520000001</v>
      </c>
      <c r="BH47">
        <f>AC47*(AC$1-$AF47)^2</f>
        <v>156.55014400000002</v>
      </c>
      <c r="BI47">
        <f>AD47*(AD$1-$AF47)^2</f>
        <v>365.14828800000004</v>
      </c>
      <c r="BJ47">
        <f>AE47*(AE$1-$AF47)^2</f>
        <v>0</v>
      </c>
      <c r="BK47">
        <f>SQRT(SUM(AG47:BJ47)/SUM(B47:AE47))</f>
        <v>4.8485588236780908</v>
      </c>
      <c r="BL47">
        <f>_xlfn.FLOOR.MATH((AF47-BK47)/5)</f>
        <v>2</v>
      </c>
    </row>
    <row r="48" spans="1:64">
      <c r="A48" t="s">
        <v>321</v>
      </c>
      <c r="B48">
        <v>0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0</v>
      </c>
      <c r="AB48">
        <v>0</v>
      </c>
      <c r="AC48">
        <v>0</v>
      </c>
      <c r="AD48">
        <v>0</v>
      </c>
      <c r="AE48">
        <v>0</v>
      </c>
      <c r="AF48">
        <f>SUMPRODUCT($B$1:$AE$1,B48:AE48)/SUM(B48:AE48)</f>
        <v>12.75</v>
      </c>
      <c r="AG48">
        <f>B48*(B$1-$AF48)^2</f>
        <v>0</v>
      </c>
      <c r="AH48">
        <f>C48*(C$1-$AF48)^2</f>
        <v>0</v>
      </c>
      <c r="AI48">
        <f>D48*(D$1-$AF48)^2</f>
        <v>0</v>
      </c>
      <c r="AJ48">
        <f>E48*(E$1-$AF48)^2</f>
        <v>0</v>
      </c>
      <c r="AK48">
        <f>F48*(F$1-$AF48)^2</f>
        <v>0</v>
      </c>
      <c r="AL48">
        <f>G48*(G$1-$AF48)^2</f>
        <v>45.5625</v>
      </c>
      <c r="AM48">
        <f>H48*(H$1-$AF48)^2</f>
        <v>0</v>
      </c>
      <c r="AN48">
        <f>I48*(I$1-$AF48)^2</f>
        <v>0</v>
      </c>
      <c r="AO48">
        <f>J48*(J$1-$AF48)^2</f>
        <v>14.0625</v>
      </c>
      <c r="AP48">
        <f>K48*(K$1-$AF48)^2</f>
        <v>0</v>
      </c>
      <c r="AQ48">
        <f>L48*(L$1-$AF48)^2</f>
        <v>3.0625</v>
      </c>
      <c r="AR48">
        <f>M48*(M$1-$AF48)^2</f>
        <v>0</v>
      </c>
      <c r="AS48">
        <f>N48*(N$1-$AF48)^2</f>
        <v>0</v>
      </c>
      <c r="AT48">
        <f>O48*(O$1-$AF48)^2</f>
        <v>0</v>
      </c>
      <c r="AU48">
        <f>P48*(P$1-$AF48)^2</f>
        <v>0</v>
      </c>
      <c r="AV48">
        <f>Q48*(Q$1-$AF48)^2</f>
        <v>0</v>
      </c>
      <c r="AW48">
        <f>R48*(R$1-$AF48)^2</f>
        <v>0</v>
      </c>
      <c r="AX48">
        <f>S48*(S$1-$AF48)^2</f>
        <v>0</v>
      </c>
      <c r="AY48">
        <f>T48*(T$1-$AF48)^2</f>
        <v>0</v>
      </c>
      <c r="AZ48">
        <f>U48*(U$1-$AF48)^2</f>
        <v>0</v>
      </c>
      <c r="BA48">
        <f>V48*(V$1-$AF48)^2</f>
        <v>0</v>
      </c>
      <c r="BB48">
        <f>W48*(W$1-$AF48)^2</f>
        <v>0</v>
      </c>
      <c r="BC48">
        <f>X48*(X$1-$AF48)^2</f>
        <v>0</v>
      </c>
      <c r="BD48">
        <f>Y48*(Y$1-$AF48)^2</f>
        <v>0</v>
      </c>
      <c r="BE48">
        <f>Z48*(Z$1-$AF48)^2</f>
        <v>150.0625</v>
      </c>
      <c r="BF48">
        <f>AA48*(AA$1-$AF48)^2</f>
        <v>0</v>
      </c>
      <c r="BG48">
        <f>AB48*(AB$1-$AF48)^2</f>
        <v>0</v>
      </c>
      <c r="BH48">
        <f>AC48*(AC$1-$AF48)^2</f>
        <v>0</v>
      </c>
      <c r="BI48">
        <f>AD48*(AD$1-$AF48)^2</f>
        <v>0</v>
      </c>
      <c r="BJ48">
        <f>AE48*(AE$1-$AF48)^2</f>
        <v>0</v>
      </c>
      <c r="BK48">
        <f>SQRT(SUM(AG48:BJ48)/SUM(B48:AE48))</f>
        <v>7.2929760729074111</v>
      </c>
      <c r="BL48">
        <f>_xlfn.FLOOR.MATH((AF48-BK48)/5)</f>
        <v>1</v>
      </c>
    </row>
    <row r="49" spans="1:64">
      <c r="A49" t="s">
        <v>322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2</v>
      </c>
      <c r="L49">
        <v>16</v>
      </c>
      <c r="M49">
        <v>63</v>
      </c>
      <c r="N49">
        <v>64</v>
      </c>
      <c r="O49">
        <v>63</v>
      </c>
      <c r="P49">
        <v>58</v>
      </c>
      <c r="Q49">
        <v>53</v>
      </c>
      <c r="R49">
        <v>46</v>
      </c>
      <c r="S49">
        <v>25</v>
      </c>
      <c r="T49">
        <v>29</v>
      </c>
      <c r="U49">
        <v>25</v>
      </c>
      <c r="V49">
        <v>16</v>
      </c>
      <c r="W49">
        <v>21</v>
      </c>
      <c r="X49">
        <v>21</v>
      </c>
      <c r="Y49">
        <v>15</v>
      </c>
      <c r="Z49">
        <v>11</v>
      </c>
      <c r="AA49">
        <v>9</v>
      </c>
      <c r="AB49">
        <v>3</v>
      </c>
      <c r="AC49">
        <v>2</v>
      </c>
      <c r="AD49">
        <v>0</v>
      </c>
      <c r="AE49">
        <v>1</v>
      </c>
      <c r="AF49">
        <f>SUMPRODUCT($B$1:$AE$1,B49:AE49)/SUM(B49:AE49)</f>
        <v>16.53125</v>
      </c>
      <c r="AG49">
        <f>B49*(B$1-$AF49)^2</f>
        <v>0</v>
      </c>
      <c r="AH49">
        <f>C49*(C$1-$AF49)^2</f>
        <v>0</v>
      </c>
      <c r="AI49">
        <f>D49*(D$1-$AF49)^2</f>
        <v>0</v>
      </c>
      <c r="AJ49">
        <f>E49*(E$1-$AF49)^2</f>
        <v>0</v>
      </c>
      <c r="AK49">
        <f>F49*(F$1-$AF49)^2</f>
        <v>0</v>
      </c>
      <c r="AL49">
        <f>G49*(G$1-$AF49)^2</f>
        <v>0</v>
      </c>
      <c r="AM49">
        <f>H49*(H$1-$AF49)^2</f>
        <v>0</v>
      </c>
      <c r="AN49">
        <f>I49*(I$1-$AF49)^2</f>
        <v>0</v>
      </c>
      <c r="AO49">
        <f>J49*(J$1-$AF49)^2</f>
        <v>56.7197265625</v>
      </c>
      <c r="AP49">
        <f>K49*(K$1-$AF49)^2</f>
        <v>85.314453125</v>
      </c>
      <c r="AQ49">
        <f>L49*(L$1-$AF49)^2</f>
        <v>489.515625</v>
      </c>
      <c r="AR49">
        <f>M49*(M$1-$AF49)^2</f>
        <v>1293.5302734375</v>
      </c>
      <c r="AS49">
        <f>N49*(N$1-$AF49)^2</f>
        <v>798.0625</v>
      </c>
      <c r="AT49">
        <f>O49*(O$1-$AF49)^2</f>
        <v>403.6552734375</v>
      </c>
      <c r="AU49">
        <f>P49*(P$1-$AF49)^2</f>
        <v>135.994140625</v>
      </c>
      <c r="AV49">
        <f>Q49*(Q$1-$AF49)^2</f>
        <v>14.9580078125</v>
      </c>
      <c r="AW49">
        <f>R49*(R$1-$AF49)^2</f>
        <v>10.107421875</v>
      </c>
      <c r="AX49">
        <f>S49*(S$1-$AF49)^2</f>
        <v>53.9306640625</v>
      </c>
      <c r="AY49">
        <f>T49*(T$1-$AF49)^2</f>
        <v>176.7470703125</v>
      </c>
      <c r="AZ49">
        <f>U49*(U$1-$AF49)^2</f>
        <v>300.8056640625</v>
      </c>
      <c r="BA49">
        <f>V49*(V$1-$AF49)^2</f>
        <v>319.515625</v>
      </c>
      <c r="BB49">
        <f>W49*(W$1-$AF49)^2</f>
        <v>628.0517578125</v>
      </c>
      <c r="BC49">
        <f>X49*(X$1-$AF49)^2</f>
        <v>878.7392578125</v>
      </c>
      <c r="BD49">
        <f>Y49*(Y$1-$AF49)^2</f>
        <v>836.7333984375</v>
      </c>
      <c r="BE49">
        <f>Z49*(Z$1-$AF49)^2</f>
        <v>788.9169921875</v>
      </c>
      <c r="BF49">
        <f>AA49*(AA$1-$AF49)^2</f>
        <v>806.9150390625</v>
      </c>
      <c r="BG49">
        <f>AB49*(AB$1-$AF49)^2</f>
        <v>328.7841796875</v>
      </c>
      <c r="BH49">
        <f>AC49*(AC$1-$AF49)^2</f>
        <v>263.064453125</v>
      </c>
      <c r="BI49">
        <f>AD49*(AD$1-$AF49)^2</f>
        <v>0</v>
      </c>
      <c r="BJ49">
        <f>AE49*(AE$1-$AF49)^2</f>
        <v>181.4072265625</v>
      </c>
      <c r="BK49">
        <f>SQRT(SUM(AG49:BJ49)/SUM(B49:AE49))</f>
        <v>4.0337429592165899</v>
      </c>
      <c r="BL49">
        <f>_xlfn.FLOOR.MATH((AF49-BK49)/5)</f>
        <v>2</v>
      </c>
    </row>
    <row r="50" spans="1:64">
      <c r="A50" t="s">
        <v>323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2</v>
      </c>
      <c r="Z50">
        <v>0</v>
      </c>
      <c r="AA50">
        <v>2</v>
      </c>
      <c r="AB50">
        <v>0</v>
      </c>
      <c r="AC50">
        <v>0</v>
      </c>
      <c r="AD50">
        <v>0</v>
      </c>
      <c r="AE50">
        <v>0</v>
      </c>
      <c r="AF50">
        <f>SUMPRODUCT($B$1:$AE$1,B50:AE50)/SUM(B50:AE50)</f>
        <v>25</v>
      </c>
      <c r="AG50">
        <f>B50*(B$1-$AF50)^2</f>
        <v>0</v>
      </c>
      <c r="AH50">
        <f>C50*(C$1-$AF50)^2</f>
        <v>0</v>
      </c>
      <c r="AI50">
        <f>D50*(D$1-$AF50)^2</f>
        <v>0</v>
      </c>
      <c r="AJ50">
        <f>E50*(E$1-$AF50)^2</f>
        <v>0</v>
      </c>
      <c r="AK50">
        <f>F50*(F$1-$AF50)^2</f>
        <v>0</v>
      </c>
      <c r="AL50">
        <f>G50*(G$1-$AF50)^2</f>
        <v>0</v>
      </c>
      <c r="AM50">
        <f>H50*(H$1-$AF50)^2</f>
        <v>0</v>
      </c>
      <c r="AN50">
        <f>I50*(I$1-$AF50)^2</f>
        <v>0</v>
      </c>
      <c r="AO50">
        <f>J50*(J$1-$AF50)^2</f>
        <v>0</v>
      </c>
      <c r="AP50">
        <f>K50*(K$1-$AF50)^2</f>
        <v>0</v>
      </c>
      <c r="AQ50">
        <f>L50*(L$1-$AF50)^2</f>
        <v>0</v>
      </c>
      <c r="AR50">
        <f>M50*(M$1-$AF50)^2</f>
        <v>0</v>
      </c>
      <c r="AS50">
        <f>N50*(N$1-$AF50)^2</f>
        <v>0</v>
      </c>
      <c r="AT50">
        <f>O50*(O$1-$AF50)^2</f>
        <v>0</v>
      </c>
      <c r="AU50">
        <f>P50*(P$1-$AF50)^2</f>
        <v>0</v>
      </c>
      <c r="AV50">
        <f>Q50*(Q$1-$AF50)^2</f>
        <v>0</v>
      </c>
      <c r="AW50">
        <f>R50*(R$1-$AF50)^2</f>
        <v>0</v>
      </c>
      <c r="AX50">
        <f>S50*(S$1-$AF50)^2</f>
        <v>0</v>
      </c>
      <c r="AY50">
        <f>T50*(T$1-$AF50)^2</f>
        <v>0</v>
      </c>
      <c r="AZ50">
        <f>U50*(U$1-$AF50)^2</f>
        <v>0</v>
      </c>
      <c r="BA50">
        <f>V50*(V$1-$AF50)^2</f>
        <v>0</v>
      </c>
      <c r="BB50">
        <f>W50*(W$1-$AF50)^2</f>
        <v>0</v>
      </c>
      <c r="BC50">
        <f>X50*(X$1-$AF50)^2</f>
        <v>0</v>
      </c>
      <c r="BD50">
        <f>Y50*(Y$1-$AF50)^2</f>
        <v>2</v>
      </c>
      <c r="BE50">
        <f>Z50*(Z$1-$AF50)^2</f>
        <v>0</v>
      </c>
      <c r="BF50">
        <f>AA50*(AA$1-$AF50)^2</f>
        <v>2</v>
      </c>
      <c r="BG50">
        <f>AB50*(AB$1-$AF50)^2</f>
        <v>0</v>
      </c>
      <c r="BH50">
        <f>AC50*(AC$1-$AF50)^2</f>
        <v>0</v>
      </c>
      <c r="BI50">
        <f>AD50*(AD$1-$AF50)^2</f>
        <v>0</v>
      </c>
      <c r="BJ50">
        <f>AE50*(AE$1-$AF50)^2</f>
        <v>0</v>
      </c>
      <c r="BK50">
        <f>SQRT(SUM(AG50:BJ50)/SUM(B50:AE50))</f>
        <v>1</v>
      </c>
      <c r="BL50">
        <f>_xlfn.FLOOR.MATH((AF50-BK50)/5)</f>
        <v>4</v>
      </c>
    </row>
    <row r="51" spans="1:64">
      <c r="A51" t="s">
        <v>324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f>SUMPRODUCT($B$1:$AE$1,B51:AE51)/SUM(B51:AE51)</f>
        <v>18</v>
      </c>
      <c r="AG51">
        <f>B51*(B$1-$AF51)^2</f>
        <v>0</v>
      </c>
      <c r="AH51">
        <f>C51*(C$1-$AF51)^2</f>
        <v>0</v>
      </c>
      <c r="AI51">
        <f>D51*(D$1-$AF51)^2</f>
        <v>0</v>
      </c>
      <c r="AJ51">
        <f>E51*(E$1-$AF51)^2</f>
        <v>0</v>
      </c>
      <c r="AK51">
        <f>F51*(F$1-$AF51)^2</f>
        <v>0</v>
      </c>
      <c r="AL51">
        <f>G51*(G$1-$AF51)^2</f>
        <v>0</v>
      </c>
      <c r="AM51">
        <f>H51*(H$1-$AF51)^2</f>
        <v>0</v>
      </c>
      <c r="AN51">
        <f>I51*(I$1-$AF51)^2</f>
        <v>0</v>
      </c>
      <c r="AO51">
        <f>J51*(J$1-$AF51)^2</f>
        <v>0</v>
      </c>
      <c r="AP51">
        <f>K51*(K$1-$AF51)^2</f>
        <v>0</v>
      </c>
      <c r="AQ51">
        <f>L51*(L$1-$AF51)^2</f>
        <v>0</v>
      </c>
      <c r="AR51">
        <f>M51*(M$1-$AF51)^2</f>
        <v>0</v>
      </c>
      <c r="AS51">
        <f>N51*(N$1-$AF51)^2</f>
        <v>0</v>
      </c>
      <c r="AT51">
        <f>O51*(O$1-$AF51)^2</f>
        <v>0</v>
      </c>
      <c r="AU51">
        <f>P51*(P$1-$AF51)^2</f>
        <v>0</v>
      </c>
      <c r="AV51">
        <f>Q51*(Q$1-$AF51)^2</f>
        <v>0</v>
      </c>
      <c r="AW51">
        <f>R51*(R$1-$AF51)^2</f>
        <v>0</v>
      </c>
      <c r="AX51">
        <f>S51*(S$1-$AF51)^2</f>
        <v>0</v>
      </c>
      <c r="AY51">
        <f>T51*(T$1-$AF51)^2</f>
        <v>0</v>
      </c>
      <c r="AZ51">
        <f>U51*(U$1-$AF51)^2</f>
        <v>0</v>
      </c>
      <c r="BA51">
        <f>V51*(V$1-$AF51)^2</f>
        <v>0</v>
      </c>
      <c r="BB51">
        <f>W51*(W$1-$AF51)^2</f>
        <v>0</v>
      </c>
      <c r="BC51">
        <f>X51*(X$1-$AF51)^2</f>
        <v>0</v>
      </c>
      <c r="BD51">
        <f>Y51*(Y$1-$AF51)^2</f>
        <v>0</v>
      </c>
      <c r="BE51">
        <f>Z51*(Z$1-$AF51)^2</f>
        <v>0</v>
      </c>
      <c r="BF51">
        <f>AA51*(AA$1-$AF51)^2</f>
        <v>0</v>
      </c>
      <c r="BG51">
        <f>AB51*(AB$1-$AF51)^2</f>
        <v>0</v>
      </c>
      <c r="BH51">
        <f>AC51*(AC$1-$AF51)^2</f>
        <v>0</v>
      </c>
      <c r="BI51">
        <f>AD51*(AD$1-$AF51)^2</f>
        <v>0</v>
      </c>
      <c r="BJ51">
        <f>AE51*(AE$1-$AF51)^2</f>
        <v>0</v>
      </c>
      <c r="BK51">
        <f>SQRT(SUM(AG51:BJ51)/SUM(B51:AE51))</f>
        <v>0</v>
      </c>
      <c r="BL51">
        <f>_xlfn.FLOOR.MATH((AF51-BK51)/5)</f>
        <v>3</v>
      </c>
    </row>
    <row r="52" spans="1:64">
      <c r="A52" t="s">
        <v>325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</v>
      </c>
      <c r="V52">
        <v>2</v>
      </c>
      <c r="W52">
        <v>0</v>
      </c>
      <c r="X52">
        <v>0</v>
      </c>
      <c r="Y52">
        <v>5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f>SUMPRODUCT($B$1:$AE$1,B52:AE52)/SUM(B52:AE52)</f>
        <v>22.444444444444443</v>
      </c>
      <c r="AG52">
        <f>B52*(B$1-$AF52)^2</f>
        <v>0</v>
      </c>
      <c r="AH52">
        <f>C52*(C$1-$AF52)^2</f>
        <v>0</v>
      </c>
      <c r="AI52">
        <f>D52*(D$1-$AF52)^2</f>
        <v>0</v>
      </c>
      <c r="AJ52">
        <f>E52*(E$1-$AF52)^2</f>
        <v>0</v>
      </c>
      <c r="AK52">
        <f>F52*(F$1-$AF52)^2</f>
        <v>0</v>
      </c>
      <c r="AL52">
        <f>G52*(G$1-$AF52)^2</f>
        <v>0</v>
      </c>
      <c r="AM52">
        <f>H52*(H$1-$AF52)^2</f>
        <v>0</v>
      </c>
      <c r="AN52">
        <f>I52*(I$1-$AF52)^2</f>
        <v>0</v>
      </c>
      <c r="AO52">
        <f>J52*(J$1-$AF52)^2</f>
        <v>0</v>
      </c>
      <c r="AP52">
        <f>K52*(K$1-$AF52)^2</f>
        <v>0</v>
      </c>
      <c r="AQ52">
        <f>L52*(L$1-$AF52)^2</f>
        <v>0</v>
      </c>
      <c r="AR52">
        <f>M52*(M$1-$AF52)^2</f>
        <v>0</v>
      </c>
      <c r="AS52">
        <f>N52*(N$1-$AF52)^2</f>
        <v>0</v>
      </c>
      <c r="AT52">
        <f>O52*(O$1-$AF52)^2</f>
        <v>0</v>
      </c>
      <c r="AU52">
        <f>P52*(P$1-$AF52)^2</f>
        <v>0</v>
      </c>
      <c r="AV52">
        <f>Q52*(Q$1-$AF52)^2</f>
        <v>0</v>
      </c>
      <c r="AW52">
        <f>R52*(R$1-$AF52)^2</f>
        <v>0</v>
      </c>
      <c r="AX52">
        <f>S52*(S$1-$AF52)^2</f>
        <v>0</v>
      </c>
      <c r="AY52">
        <f>T52*(T$1-$AF52)^2</f>
        <v>0</v>
      </c>
      <c r="AZ52">
        <f>U52*(U$1-$AF52)^2</f>
        <v>11.950617283950601</v>
      </c>
      <c r="BA52">
        <f>V52*(V$1-$AF52)^2</f>
        <v>4.1728395061728305</v>
      </c>
      <c r="BB52">
        <f>W52*(W$1-$AF52)^2</f>
        <v>0</v>
      </c>
      <c r="BC52">
        <f>X52*(X$1-$AF52)^2</f>
        <v>0</v>
      </c>
      <c r="BD52">
        <f>Y52*(Y$1-$AF52)^2</f>
        <v>12.098765432098791</v>
      </c>
      <c r="BE52">
        <f>Z52*(Z$1-$AF52)^2</f>
        <v>0</v>
      </c>
      <c r="BF52">
        <f>AA52*(AA$1-$AF52)^2</f>
        <v>0</v>
      </c>
      <c r="BG52">
        <f>AB52*(AB$1-$AF52)^2</f>
        <v>0</v>
      </c>
      <c r="BH52">
        <f>AC52*(AC$1-$AF52)^2</f>
        <v>0</v>
      </c>
      <c r="BI52">
        <f>AD52*(AD$1-$AF52)^2</f>
        <v>0</v>
      </c>
      <c r="BJ52">
        <f>AE52*(AE$1-$AF52)^2</f>
        <v>0</v>
      </c>
      <c r="BK52">
        <f>SQRT(SUM(AG52:BJ52)/SUM(B52:AE52))</f>
        <v>1.7708197167232473</v>
      </c>
      <c r="BL52">
        <f>_xlfn.FLOOR.MATH((AF52-BK52)/5)</f>
        <v>4</v>
      </c>
    </row>
    <row r="53" spans="1:64">
      <c r="A53" t="s">
        <v>326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U53">
        <v>0</v>
      </c>
      <c r="V53">
        <v>1</v>
      </c>
      <c r="W53">
        <v>0</v>
      </c>
      <c r="X53">
        <v>0</v>
      </c>
      <c r="Y53">
        <v>2</v>
      </c>
      <c r="Z53">
        <v>1</v>
      </c>
      <c r="AA53">
        <v>0</v>
      </c>
      <c r="AB53">
        <v>1</v>
      </c>
      <c r="AC53">
        <v>0</v>
      </c>
      <c r="AD53">
        <v>0</v>
      </c>
      <c r="AE53">
        <v>0</v>
      </c>
      <c r="AF53">
        <f>SUMPRODUCT($B$1:$AE$1,B53:AE53)/SUM(B53:AE53)</f>
        <v>23.166666666666668</v>
      </c>
      <c r="AG53">
        <f>B53*(B$1-$AF53)^2</f>
        <v>0</v>
      </c>
      <c r="AH53">
        <f>C53*(C$1-$AF53)^2</f>
        <v>0</v>
      </c>
      <c r="AI53">
        <f>D53*(D$1-$AF53)^2</f>
        <v>0</v>
      </c>
      <c r="AJ53">
        <f>E53*(E$1-$AF53)^2</f>
        <v>0</v>
      </c>
      <c r="AK53">
        <f>F53*(F$1-$AF53)^2</f>
        <v>0</v>
      </c>
      <c r="AL53">
        <f>G53*(G$1-$AF53)^2</f>
        <v>0</v>
      </c>
      <c r="AM53">
        <f>H53*(H$1-$AF53)^2</f>
        <v>0</v>
      </c>
      <c r="AN53">
        <f>I53*(I$1-$AF53)^2</f>
        <v>0</v>
      </c>
      <c r="AO53">
        <f>J53*(J$1-$AF53)^2</f>
        <v>0</v>
      </c>
      <c r="AP53">
        <f>K53*(K$1-$AF53)^2</f>
        <v>0</v>
      </c>
      <c r="AQ53">
        <f>L53*(L$1-$AF53)^2</f>
        <v>0</v>
      </c>
      <c r="AR53">
        <f>M53*(M$1-$AF53)^2</f>
        <v>0</v>
      </c>
      <c r="AS53">
        <f>N53*(N$1-$AF53)^2</f>
        <v>0</v>
      </c>
      <c r="AT53">
        <f>O53*(O$1-$AF53)^2</f>
        <v>0</v>
      </c>
      <c r="AU53">
        <f>P53*(P$1-$AF53)^2</f>
        <v>0</v>
      </c>
      <c r="AV53">
        <f>Q53*(Q$1-$AF53)^2</f>
        <v>0</v>
      </c>
      <c r="AW53">
        <f>R53*(R$1-$AF53)^2</f>
        <v>0</v>
      </c>
      <c r="AX53">
        <f>S53*(S$1-$AF53)^2</f>
        <v>26.694444444444457</v>
      </c>
      <c r="AY53">
        <f>T53*(T$1-$AF53)^2</f>
        <v>0</v>
      </c>
      <c r="AZ53">
        <f>U53*(U$1-$AF53)^2</f>
        <v>0</v>
      </c>
      <c r="BA53">
        <f>V53*(V$1-$AF53)^2</f>
        <v>4.69444444444445</v>
      </c>
      <c r="BB53">
        <f>W53*(W$1-$AF53)^2</f>
        <v>0</v>
      </c>
      <c r="BC53">
        <f>X53*(X$1-$AF53)^2</f>
        <v>0</v>
      </c>
      <c r="BD53">
        <f>Y53*(Y$1-$AF53)^2</f>
        <v>1.3888888888888848</v>
      </c>
      <c r="BE53">
        <f>Z53*(Z$1-$AF53)^2</f>
        <v>3.3611111111111067</v>
      </c>
      <c r="BF53">
        <f>AA53*(AA$1-$AF53)^2</f>
        <v>0</v>
      </c>
      <c r="BG53">
        <f>AB53*(AB$1-$AF53)^2</f>
        <v>14.694444444444436</v>
      </c>
      <c r="BH53">
        <f>AC53*(AC$1-$AF53)^2</f>
        <v>0</v>
      </c>
      <c r="BI53">
        <f>AD53*(AD$1-$AF53)^2</f>
        <v>0</v>
      </c>
      <c r="BJ53">
        <f>AE53*(AE$1-$AF53)^2</f>
        <v>0</v>
      </c>
      <c r="BK53">
        <f>SQRT(SUM(AG53:BJ53)/SUM(B53:AE53))</f>
        <v>2.9107081994288304</v>
      </c>
      <c r="BL53">
        <f>_xlfn.FLOOR.MATH((AF53-BK53)/5)</f>
        <v>4</v>
      </c>
    </row>
    <row r="54" spans="1:64">
      <c r="A54" t="s">
        <v>327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</v>
      </c>
      <c r="K54">
        <v>8</v>
      </c>
      <c r="L54">
        <v>7</v>
      </c>
      <c r="M54">
        <v>35</v>
      </c>
      <c r="N54">
        <v>26</v>
      </c>
      <c r="O54">
        <v>41</v>
      </c>
      <c r="P54">
        <v>29</v>
      </c>
      <c r="Q54">
        <v>29</v>
      </c>
      <c r="R54">
        <v>27</v>
      </c>
      <c r="S54">
        <v>29</v>
      </c>
      <c r="T54">
        <v>27</v>
      </c>
      <c r="U54">
        <v>26</v>
      </c>
      <c r="V54">
        <v>35</v>
      </c>
      <c r="W54">
        <v>30</v>
      </c>
      <c r="X54">
        <v>15</v>
      </c>
      <c r="Y54">
        <v>20</v>
      </c>
      <c r="Z54">
        <v>17</v>
      </c>
      <c r="AA54">
        <v>13</v>
      </c>
      <c r="AB54">
        <v>8</v>
      </c>
      <c r="AC54">
        <v>2</v>
      </c>
      <c r="AD54">
        <v>1</v>
      </c>
      <c r="AE54">
        <v>1</v>
      </c>
      <c r="AF54">
        <f>SUMPRODUCT($B$1:$AE$1,B54:AE54)/SUM(B54:AE54)</f>
        <v>18.070093457943926</v>
      </c>
      <c r="AG54">
        <f>B54*(B$1-$AF54)^2</f>
        <v>0</v>
      </c>
      <c r="AH54">
        <f>C54*(C$1-$AF54)^2</f>
        <v>0</v>
      </c>
      <c r="AI54">
        <f>D54*(D$1-$AF54)^2</f>
        <v>0</v>
      </c>
      <c r="AJ54">
        <f>E54*(E$1-$AF54)^2</f>
        <v>0</v>
      </c>
      <c r="AK54">
        <f>F54*(F$1-$AF54)^2</f>
        <v>0</v>
      </c>
      <c r="AL54">
        <f>G54*(G$1-$AF54)^2</f>
        <v>0</v>
      </c>
      <c r="AM54">
        <f>H54*(H$1-$AF54)^2</f>
        <v>0</v>
      </c>
      <c r="AN54">
        <f>I54*(I$1-$AF54)^2</f>
        <v>0</v>
      </c>
      <c r="AO54">
        <f>J54*(J$1-$AF54)^2</f>
        <v>164.53319067167442</v>
      </c>
      <c r="AP54">
        <f>K54*(K$1-$AF54)^2</f>
        <v>521.01126735959485</v>
      </c>
      <c r="AQ54">
        <f>L54*(L$1-$AF54)^2</f>
        <v>349.90355052843051</v>
      </c>
      <c r="AR54">
        <f>M54*(M$1-$AF54)^2</f>
        <v>1289.6112105860777</v>
      </c>
      <c r="AS54">
        <f>N54*(N$1-$AF54)^2</f>
        <v>668.3520394794308</v>
      </c>
      <c r="AT54">
        <f>O54*(O$1-$AF54)^2</f>
        <v>679.19209101231581</v>
      </c>
      <c r="AU54">
        <f>P54*(P$1-$AF54)^2</f>
        <v>273.33874137479279</v>
      </c>
      <c r="AV54">
        <f>Q54*(Q$1-$AF54)^2</f>
        <v>124.27332081404502</v>
      </c>
      <c r="AW54">
        <f>R54*(R$1-$AF54)^2</f>
        <v>30.917700235828519</v>
      </c>
      <c r="AX54">
        <f>S54*(S$1-$AF54)^2</f>
        <v>0.14247969254957196</v>
      </c>
      <c r="AY54">
        <f>T54*(T$1-$AF54)^2</f>
        <v>23.347606777884479</v>
      </c>
      <c r="AZ54">
        <f>U54*(U$1-$AF54)^2</f>
        <v>96.838020787841629</v>
      </c>
      <c r="BA54">
        <f>V54*(V$1-$AF54)^2</f>
        <v>300.45233208140428</v>
      </c>
      <c r="BB54">
        <f>W54*(W$1-$AF54)^2</f>
        <v>463.3249628788538</v>
      </c>
      <c r="BC54">
        <f>X54*(X$1-$AF54)^2</f>
        <v>364.55967770110908</v>
      </c>
      <c r="BD54">
        <f>Y54*(Y$1-$AF54)^2</f>
        <v>703.27583195038846</v>
      </c>
      <c r="BE54">
        <f>Z54*(Z$1-$AF54)^2</f>
        <v>816.40127958773667</v>
      </c>
      <c r="BF54">
        <f>AA54*(AA$1-$AF54)^2</f>
        <v>817.48443095466826</v>
      </c>
      <c r="BG54">
        <f>AB54*(AB$1-$AF54)^2</f>
        <v>637.9458467988469</v>
      </c>
      <c r="BH54">
        <f>AC54*(AC$1-$AF54)^2</f>
        <v>197.20608786793602</v>
      </c>
      <c r="BI54">
        <f>AD54*(AD$1-$AF54)^2</f>
        <v>119.46285701808016</v>
      </c>
      <c r="BJ54">
        <f>AE54*(AE$1-$AF54)^2</f>
        <v>142.32267010219232</v>
      </c>
      <c r="BK54">
        <f>SQRT(SUM(AG54:BJ54)/SUM(B54:AE54))</f>
        <v>4.5302455000067079</v>
      </c>
      <c r="BL54">
        <f>_xlfn.FLOOR.MATH((AF54-BK54)/5)</f>
        <v>2</v>
      </c>
    </row>
    <row r="55" spans="1:64">
      <c r="A55" t="s">
        <v>328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2</v>
      </c>
      <c r="I55">
        <v>5</v>
      </c>
      <c r="J55">
        <v>8</v>
      </c>
      <c r="K55">
        <v>5</v>
      </c>
      <c r="L55">
        <v>5</v>
      </c>
      <c r="M55">
        <v>8</v>
      </c>
      <c r="N55">
        <v>10</v>
      </c>
      <c r="O55">
        <v>6</v>
      </c>
      <c r="P55">
        <v>6</v>
      </c>
      <c r="Q55">
        <v>22</v>
      </c>
      <c r="R55">
        <v>6</v>
      </c>
      <c r="S55">
        <v>16</v>
      </c>
      <c r="T55">
        <v>14</v>
      </c>
      <c r="U55">
        <v>23</v>
      </c>
      <c r="V55">
        <v>35</v>
      </c>
      <c r="W55">
        <v>55</v>
      </c>
      <c r="X55">
        <v>42</v>
      </c>
      <c r="Y55">
        <v>31</v>
      </c>
      <c r="Z55">
        <v>31</v>
      </c>
      <c r="AA55">
        <v>30</v>
      </c>
      <c r="AB55">
        <v>19</v>
      </c>
      <c r="AC55">
        <v>6</v>
      </c>
      <c r="AD55">
        <v>3</v>
      </c>
      <c r="AE55">
        <v>6</v>
      </c>
      <c r="AF55">
        <f>SUMPRODUCT($B$1:$AE$1,B55:AE55)/SUM(B55:AE55)</f>
        <v>20.956852791878173</v>
      </c>
      <c r="AG55">
        <f>B55*(B$1-$AF55)^2</f>
        <v>0</v>
      </c>
      <c r="AH55">
        <f>C55*(C$1-$AF55)^2</f>
        <v>0</v>
      </c>
      <c r="AI55">
        <f>D55*(D$1-$AF55)^2</f>
        <v>0</v>
      </c>
      <c r="AJ55">
        <f>E55*(E$1-$AF55)^2</f>
        <v>0</v>
      </c>
      <c r="AK55">
        <f>F55*(F$1-$AF55)^2</f>
        <v>0</v>
      </c>
      <c r="AL55">
        <f>G55*(G$1-$AF55)^2</f>
        <v>0</v>
      </c>
      <c r="AM55">
        <f>H55*(H$1-$AF55)^2</f>
        <v>389.58747970831513</v>
      </c>
      <c r="AN55">
        <f>I55*(I$1-$AF55)^2</f>
        <v>839.40017135200605</v>
      </c>
      <c r="AO55">
        <f>J55*(J$1-$AF55)^2</f>
        <v>1143.7306294931589</v>
      </c>
      <c r="AP55">
        <f>K55*(K$1-$AF55)^2</f>
        <v>600.26311551444257</v>
      </c>
      <c r="AQ55">
        <f>L55*(L$1-$AF55)^2</f>
        <v>495.69458759566089</v>
      </c>
      <c r="AR55">
        <f>M55*(M$1-$AF55)^2</f>
        <v>641.8016954830066</v>
      </c>
      <c r="AS55">
        <f>N55*(N$1-$AF55)^2</f>
        <v>633.11506351619482</v>
      </c>
      <c r="AT55">
        <f>O55*(O$1-$AF55)^2</f>
        <v>290.38680460717876</v>
      </c>
      <c r="AU55">
        <f>P55*(P$1-$AF55)^2</f>
        <v>212.9045711046407</v>
      </c>
      <c r="AV55">
        <f>Q55*(Q$1-$AF55)^2</f>
        <v>540.54857120770976</v>
      </c>
      <c r="AW55">
        <f>R55*(R$1-$AF55)^2</f>
        <v>93.940104099564564</v>
      </c>
      <c r="AX55">
        <f>S55*(S$1-$AF55)^2</f>
        <v>139.88765492540398</v>
      </c>
      <c r="AY55">
        <f>T55*(T$1-$AF55)^2</f>
        <v>53.609819887139615</v>
      </c>
      <c r="AZ55">
        <f>U55*(U$1-$AF55)^2</f>
        <v>21.058047102476262</v>
      </c>
      <c r="BA55">
        <f>V55*(V$1-$AF55)^2</f>
        <v>6.5158854904787997E-2</v>
      </c>
      <c r="BB55">
        <f>W55*(W$1-$AF55)^2</f>
        <v>59.848585379679889</v>
      </c>
      <c r="BC55">
        <f>X55*(X$1-$AF55)^2</f>
        <v>175.32692159035261</v>
      </c>
      <c r="BD55">
        <f>Y55*(Y$1-$AF55)^2</f>
        <v>287.08309283928975</v>
      </c>
      <c r="BE55">
        <f>Z55*(Z$1-$AF55)^2</f>
        <v>506.75821974284298</v>
      </c>
      <c r="BF55">
        <f>AA55*(AA$1-$AF55)^2</f>
        <v>763.00001288360932</v>
      </c>
      <c r="BG55">
        <f>AB55*(AB$1-$AF55)^2</f>
        <v>693.87293540158191</v>
      </c>
      <c r="BH55">
        <f>AC55*(AC$1-$AF55)^2</f>
        <v>297.63553557164568</v>
      </c>
      <c r="BI55">
        <f>AD55*(AD$1-$AF55)^2</f>
        <v>194.07665103455383</v>
      </c>
      <c r="BJ55">
        <f>AE55*(AE$1-$AF55)^2</f>
        <v>490.67106856656949</v>
      </c>
      <c r="BK55">
        <f>SQRT(SUM(AG55:BJ55)/SUM(B55:AE55))</f>
        <v>4.9269451046895361</v>
      </c>
      <c r="BL55">
        <f>_xlfn.FLOOR.MATH((AF55-BK55)/5)</f>
        <v>3</v>
      </c>
    </row>
    <row r="56" spans="1:64">
      <c r="A56" t="s">
        <v>329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5</v>
      </c>
      <c r="V56">
        <v>6</v>
      </c>
      <c r="W56">
        <v>4</v>
      </c>
      <c r="X56">
        <v>5</v>
      </c>
      <c r="Y56">
        <v>3</v>
      </c>
      <c r="Z56">
        <v>1</v>
      </c>
      <c r="AA56">
        <v>1</v>
      </c>
      <c r="AB56">
        <v>3</v>
      </c>
      <c r="AC56">
        <v>1</v>
      </c>
      <c r="AD56">
        <v>1</v>
      </c>
      <c r="AE56">
        <v>0</v>
      </c>
      <c r="AF56">
        <f>SUMPRODUCT($B$1:$AE$1,B56:AE56)/SUM(B56:AE56)</f>
        <v>22.838709677419356</v>
      </c>
      <c r="AG56">
        <f>B56*(B$1-$AF56)^2</f>
        <v>0</v>
      </c>
      <c r="AH56">
        <f>C56*(C$1-$AF56)^2</f>
        <v>0</v>
      </c>
      <c r="AI56">
        <f>D56*(D$1-$AF56)^2</f>
        <v>0</v>
      </c>
      <c r="AJ56">
        <f>E56*(E$1-$AF56)^2</f>
        <v>0</v>
      </c>
      <c r="AK56">
        <f>F56*(F$1-$AF56)^2</f>
        <v>0</v>
      </c>
      <c r="AL56">
        <f>G56*(G$1-$AF56)^2</f>
        <v>0</v>
      </c>
      <c r="AM56">
        <f>H56*(H$1-$AF56)^2</f>
        <v>0</v>
      </c>
      <c r="AN56">
        <f>I56*(I$1-$AF56)^2</f>
        <v>0</v>
      </c>
      <c r="AO56">
        <f>J56*(J$1-$AF56)^2</f>
        <v>0</v>
      </c>
      <c r="AP56">
        <f>K56*(K$1-$AF56)^2</f>
        <v>0</v>
      </c>
      <c r="AQ56">
        <f>L56*(L$1-$AF56)^2</f>
        <v>0</v>
      </c>
      <c r="AR56">
        <f>M56*(M$1-$AF56)^2</f>
        <v>0</v>
      </c>
      <c r="AS56">
        <f>N56*(N$1-$AF56)^2</f>
        <v>0</v>
      </c>
      <c r="AT56">
        <f>O56*(O$1-$AF56)^2</f>
        <v>0</v>
      </c>
      <c r="AU56">
        <f>P56*(P$1-$AF56)^2</f>
        <v>0</v>
      </c>
      <c r="AV56">
        <f>Q56*(Q$1-$AF56)^2</f>
        <v>0</v>
      </c>
      <c r="AW56">
        <f>R56*(R$1-$AF56)^2</f>
        <v>0</v>
      </c>
      <c r="AX56">
        <f>S56*(S$1-$AF56)^2</f>
        <v>23.413111342351726</v>
      </c>
      <c r="AY56">
        <f>T56*(T$1-$AF56)^2</f>
        <v>0</v>
      </c>
      <c r="AZ56">
        <f>U56*(U$1-$AF56)^2</f>
        <v>40.291363163371514</v>
      </c>
      <c r="BA56">
        <f>V56*(V$1-$AF56)^2</f>
        <v>20.28511966701355</v>
      </c>
      <c r="BB56">
        <f>W56*(W$1-$AF56)^2</f>
        <v>2.81373569198752</v>
      </c>
      <c r="BC56">
        <f>X56*(X$1-$AF56)^2</f>
        <v>0.13007284079084119</v>
      </c>
      <c r="BD56">
        <f>Y56*(Y$1-$AF56)^2</f>
        <v>4.0457856399583694</v>
      </c>
      <c r="BE56">
        <f>Z56*(Z$1-$AF56)^2</f>
        <v>4.671175858480745</v>
      </c>
      <c r="BF56">
        <f>AA56*(AA$1-$AF56)^2</f>
        <v>9.9937565036420324</v>
      </c>
      <c r="BG56">
        <f>AB56*(AB$1-$AF56)^2</f>
        <v>51.949011446409962</v>
      </c>
      <c r="BH56">
        <f>AC56*(AC$1-$AF56)^2</f>
        <v>26.638917793964609</v>
      </c>
      <c r="BI56">
        <f>AD56*(AD$1-$AF56)^2</f>
        <v>37.961498439125897</v>
      </c>
      <c r="BJ56">
        <f>AE56*(AE$1-$AF56)^2</f>
        <v>0</v>
      </c>
      <c r="BK56">
        <f>SQRT(SUM(AG56:BJ56)/SUM(B56:AE56))</f>
        <v>2.6772250220963136</v>
      </c>
      <c r="BL56">
        <f>_xlfn.FLOOR.MATH((AF56-BK56)/5)</f>
        <v>4</v>
      </c>
    </row>
    <row r="57" spans="1:64">
      <c r="A57" t="s">
        <v>330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4</v>
      </c>
      <c r="Y57">
        <v>1</v>
      </c>
      <c r="Z57">
        <v>1</v>
      </c>
      <c r="AA57">
        <v>0</v>
      </c>
      <c r="AB57">
        <v>0</v>
      </c>
      <c r="AC57">
        <v>0</v>
      </c>
      <c r="AD57">
        <v>0</v>
      </c>
      <c r="AE57">
        <v>0</v>
      </c>
      <c r="AF57">
        <f>SUMPRODUCT($B$1:$AE$1,B57:AE57)/SUM(B57:AE57)</f>
        <v>23.285714285714285</v>
      </c>
      <c r="AG57">
        <f>B57*(B$1-$AF57)^2</f>
        <v>0</v>
      </c>
      <c r="AH57">
        <f>C57*(C$1-$AF57)^2</f>
        <v>0</v>
      </c>
      <c r="AI57">
        <f>D57*(D$1-$AF57)^2</f>
        <v>0</v>
      </c>
      <c r="AJ57">
        <f>E57*(E$1-$AF57)^2</f>
        <v>0</v>
      </c>
      <c r="AK57">
        <f>F57*(F$1-$AF57)^2</f>
        <v>0</v>
      </c>
      <c r="AL57">
        <f>G57*(G$1-$AF57)^2</f>
        <v>0</v>
      </c>
      <c r="AM57">
        <f>H57*(H$1-$AF57)^2</f>
        <v>0</v>
      </c>
      <c r="AN57">
        <f>I57*(I$1-$AF57)^2</f>
        <v>0</v>
      </c>
      <c r="AO57">
        <f>J57*(J$1-$AF57)^2</f>
        <v>0</v>
      </c>
      <c r="AP57">
        <f>K57*(K$1-$AF57)^2</f>
        <v>0</v>
      </c>
      <c r="AQ57">
        <f>L57*(L$1-$AF57)^2</f>
        <v>0</v>
      </c>
      <c r="AR57">
        <f>M57*(M$1-$AF57)^2</f>
        <v>0</v>
      </c>
      <c r="AS57">
        <f>N57*(N$1-$AF57)^2</f>
        <v>0</v>
      </c>
      <c r="AT57">
        <f>O57*(O$1-$AF57)^2</f>
        <v>0</v>
      </c>
      <c r="AU57">
        <f>P57*(P$1-$AF57)^2</f>
        <v>0</v>
      </c>
      <c r="AV57">
        <f>Q57*(Q$1-$AF57)^2</f>
        <v>0</v>
      </c>
      <c r="AW57">
        <f>R57*(R$1-$AF57)^2</f>
        <v>0</v>
      </c>
      <c r="AX57">
        <f>S57*(S$1-$AF57)^2</f>
        <v>0</v>
      </c>
      <c r="AY57">
        <f>T57*(T$1-$AF57)^2</f>
        <v>0</v>
      </c>
      <c r="AZ57">
        <f>U57*(U$1-$AF57)^2</f>
        <v>0</v>
      </c>
      <c r="BA57">
        <f>V57*(V$1-$AF57)^2</f>
        <v>0</v>
      </c>
      <c r="BB57">
        <f>W57*(W$1-$AF57)^2</f>
        <v>1.6530612244897933</v>
      </c>
      <c r="BC57">
        <f>X57*(X$1-$AF57)^2</f>
        <v>0.32653061224489566</v>
      </c>
      <c r="BD57">
        <f>Y57*(Y$1-$AF57)^2</f>
        <v>0.51020408163265452</v>
      </c>
      <c r="BE57">
        <f>Z57*(Z$1-$AF57)^2</f>
        <v>2.9387755102040849</v>
      </c>
      <c r="BF57">
        <f>AA57*(AA$1-$AF57)^2</f>
        <v>0</v>
      </c>
      <c r="BG57">
        <f>AB57*(AB$1-$AF57)^2</f>
        <v>0</v>
      </c>
      <c r="BH57">
        <f>AC57*(AC$1-$AF57)^2</f>
        <v>0</v>
      </c>
      <c r="BI57">
        <f>AD57*(AD$1-$AF57)^2</f>
        <v>0</v>
      </c>
      <c r="BJ57">
        <f>AE57*(AE$1-$AF57)^2</f>
        <v>0</v>
      </c>
      <c r="BK57">
        <f>SQRT(SUM(AG57:BJ57)/SUM(B57:AE57))</f>
        <v>0.88063057185271099</v>
      </c>
      <c r="BL57">
        <f>_xlfn.FLOOR.MATH((AF57-BK57)/5)</f>
        <v>4</v>
      </c>
    </row>
    <row r="58" spans="1:64">
      <c r="A58" t="s">
        <v>331</v>
      </c>
      <c r="B58">
        <v>0</v>
      </c>
      <c r="C58">
        <v>0</v>
      </c>
      <c r="D58">
        <v>0</v>
      </c>
      <c r="E58">
        <v>2</v>
      </c>
      <c r="F58">
        <v>4</v>
      </c>
      <c r="G58">
        <v>14</v>
      </c>
      <c r="H58">
        <v>21</v>
      </c>
      <c r="I58">
        <v>63</v>
      </c>
      <c r="J58">
        <v>77</v>
      </c>
      <c r="K58">
        <v>127</v>
      </c>
      <c r="L58">
        <v>168</v>
      </c>
      <c r="M58">
        <v>252</v>
      </c>
      <c r="N58">
        <v>294</v>
      </c>
      <c r="O58">
        <v>255</v>
      </c>
      <c r="P58">
        <v>248</v>
      </c>
      <c r="Q58">
        <v>318</v>
      </c>
      <c r="R58">
        <v>260</v>
      </c>
      <c r="S58">
        <v>263</v>
      </c>
      <c r="T58">
        <v>289</v>
      </c>
      <c r="U58">
        <v>205</v>
      </c>
      <c r="V58">
        <v>204</v>
      </c>
      <c r="W58">
        <v>209</v>
      </c>
      <c r="X58">
        <v>147</v>
      </c>
      <c r="Y58">
        <v>92</v>
      </c>
      <c r="Z58">
        <v>68</v>
      </c>
      <c r="AA58">
        <v>76</v>
      </c>
      <c r="AB58">
        <v>39</v>
      </c>
      <c r="AC58">
        <v>17</v>
      </c>
      <c r="AD58">
        <v>7</v>
      </c>
      <c r="AE58">
        <v>4</v>
      </c>
      <c r="AF58">
        <f>SUMPRODUCT($B$1:$AE$1,B58:AE58)/SUM(B58:AE58)</f>
        <v>16.798818157399946</v>
      </c>
      <c r="AG58">
        <f>B58*(B$1-$AF58)^2</f>
        <v>0</v>
      </c>
      <c r="AH58">
        <f>C58*(C$1-$AF58)^2</f>
        <v>0</v>
      </c>
      <c r="AI58">
        <f>D58*(D$1-$AF58)^2</f>
        <v>0</v>
      </c>
      <c r="AJ58">
        <f>E58*(E$1-$AF58)^2</f>
        <v>327.61949245238111</v>
      </c>
      <c r="AK58">
        <f>F58*(F$1-$AF58)^2</f>
        <v>556.84843964556262</v>
      </c>
      <c r="AL58">
        <f>G58*(G$1-$AF58)^2</f>
        <v>1632.6026303522708</v>
      </c>
      <c r="AM58">
        <f>H58*(H$1-$AF58)^2</f>
        <v>2016.3535829176083</v>
      </c>
      <c r="AN58">
        <f>I58*(I$1-$AF58)^2</f>
        <v>4877.4096609204316</v>
      </c>
      <c r="AO58">
        <f>J58*(J$1-$AF58)^2</f>
        <v>4683.2604782187145</v>
      </c>
      <c r="AP58">
        <f>K58*(K$1-$AF58)^2</f>
        <v>5870.4388988486826</v>
      </c>
      <c r="AQ58">
        <f>L58*(L$1-$AF58)^2</f>
        <v>5649.21705979534</v>
      </c>
      <c r="AR58">
        <f>M58*(M$1-$AF58)^2</f>
        <v>5803.2212383634369</v>
      </c>
      <c r="AS58">
        <f>N58*(N$1-$AF58)^2</f>
        <v>4242.7197015395077</v>
      </c>
      <c r="AT58">
        <f>O58*(O$1-$AF58)^2</f>
        <v>1997.5126849388657</v>
      </c>
      <c r="AU58">
        <f>P58*(P$1-$AF58)^2</f>
        <v>802.46519732115098</v>
      </c>
      <c r="AV58">
        <f>Q58*(Q$1-$AF58)^2</f>
        <v>202.9191226522068</v>
      </c>
      <c r="AW58">
        <f>R58*(R$1-$AF58)^2</f>
        <v>10.523274785907732</v>
      </c>
      <c r="AX58">
        <f>S58*(S$1-$AF58)^2</f>
        <v>379.46634639491185</v>
      </c>
      <c r="AY58">
        <f>T58*(T$1-$AF58)^2</f>
        <v>1400.2632347115366</v>
      </c>
      <c r="AZ58">
        <f>U58*(U$1-$AF58)^2</f>
        <v>2100.7508638254167</v>
      </c>
      <c r="BA58">
        <f>V58*(V$1-$AF58)^2</f>
        <v>3600.5854904168464</v>
      </c>
      <c r="BB58">
        <f>W58*(W$1-$AF58)^2</f>
        <v>5653.9291449966304</v>
      </c>
      <c r="BC58">
        <f>X58*(X$1-$AF58)^2</f>
        <v>5652.8344680139116</v>
      </c>
      <c r="BD58">
        <f>Y58*(Y$1-$AF58)^2</f>
        <v>4770.8458335777286</v>
      </c>
      <c r="BE58">
        <f>Z58*(Z$1-$AF58)^2</f>
        <v>4573.638085846711</v>
      </c>
      <c r="BF58">
        <f>AA58*(AA$1-$AF58)^2</f>
        <v>6434.2927948450624</v>
      </c>
      <c r="BG58">
        <f>AB58*(AB$1-$AF58)^2</f>
        <v>4058.5003284459281</v>
      </c>
      <c r="BH58">
        <f>AC58*(AC$1-$AF58)^2</f>
        <v>2132.9300694068834</v>
      </c>
      <c r="BI58">
        <f>AD58*(AD$1-$AF58)^2</f>
        <v>1042.0818684933527</v>
      </c>
      <c r="BJ58">
        <f>AE58*(AE$1-$AF58)^2</f>
        <v>697.08480816557335</v>
      </c>
      <c r="BK58">
        <f>SQRT(SUM(AG58:BJ58)/SUM(B58:AE58))</f>
        <v>4.6693034299046241</v>
      </c>
      <c r="BL58">
        <f>_xlfn.FLOOR.MATH((AF58-BK58)/5)</f>
        <v>2</v>
      </c>
    </row>
    <row r="59" spans="1:64">
      <c r="A59" t="s">
        <v>332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5</v>
      </c>
      <c r="O59">
        <v>4</v>
      </c>
      <c r="P59">
        <v>25</v>
      </c>
      <c r="Q59">
        <v>49</v>
      </c>
      <c r="R59">
        <v>34</v>
      </c>
      <c r="S59">
        <v>35</v>
      </c>
      <c r="T59">
        <v>35</v>
      </c>
      <c r="U59">
        <v>23</v>
      </c>
      <c r="V59">
        <v>22</v>
      </c>
      <c r="W59">
        <v>16</v>
      </c>
      <c r="X59">
        <v>10</v>
      </c>
      <c r="Y59">
        <v>7</v>
      </c>
      <c r="Z59">
        <v>7</v>
      </c>
      <c r="AA59">
        <v>5</v>
      </c>
      <c r="AB59">
        <v>0</v>
      </c>
      <c r="AC59">
        <v>1</v>
      </c>
      <c r="AD59">
        <v>0</v>
      </c>
      <c r="AE59">
        <v>0</v>
      </c>
      <c r="AF59">
        <f>SUMPRODUCT($B$1:$AE$1,B59:AE59)/SUM(B59:AE59)</f>
        <v>18.507142857142856</v>
      </c>
      <c r="AG59">
        <f>B59*(B$1-$AF59)^2</f>
        <v>0</v>
      </c>
      <c r="AH59">
        <f>C59*(C$1-$AF59)^2</f>
        <v>0</v>
      </c>
      <c r="AI59">
        <f>D59*(D$1-$AF59)^2</f>
        <v>0</v>
      </c>
      <c r="AJ59">
        <f>E59*(E$1-$AF59)^2</f>
        <v>0</v>
      </c>
      <c r="AK59">
        <f>F59*(F$1-$AF59)^2</f>
        <v>0</v>
      </c>
      <c r="AL59">
        <f>G59*(G$1-$AF59)^2</f>
        <v>0</v>
      </c>
      <c r="AM59">
        <f>H59*(H$1-$AF59)^2</f>
        <v>0</v>
      </c>
      <c r="AN59">
        <f>I59*(I$1-$AF59)^2</f>
        <v>0</v>
      </c>
      <c r="AO59">
        <f>J59*(J$1-$AF59)^2</f>
        <v>0</v>
      </c>
      <c r="AP59">
        <f>K59*(K$1-$AF59)^2</f>
        <v>0</v>
      </c>
      <c r="AQ59">
        <f>L59*(L$1-$AF59)^2</f>
        <v>0</v>
      </c>
      <c r="AR59">
        <f>M59*(M$1-$AF59)^2</f>
        <v>84.685816326530585</v>
      </c>
      <c r="AS59">
        <f>N59*(N$1-$AF59)^2</f>
        <v>151.64311224489791</v>
      </c>
      <c r="AT59">
        <f>O59*(O$1-$AF59)^2</f>
        <v>81.257346938775484</v>
      </c>
      <c r="AU59">
        <f>P59*(P$1-$AF59)^2</f>
        <v>307.50127551020393</v>
      </c>
      <c r="AV59">
        <f>Q59*(Q$1-$AF59)^2</f>
        <v>308.00249999999977</v>
      </c>
      <c r="AW59">
        <f>R59*(R$1-$AF59)^2</f>
        <v>77.23030612244888</v>
      </c>
      <c r="AX59">
        <f>S59*(S$1-$AF59)^2</f>
        <v>9.0017857142856812</v>
      </c>
      <c r="AY59">
        <f>T59*(T$1-$AF59)^2</f>
        <v>8.5017857142857469</v>
      </c>
      <c r="AZ59">
        <f>U59*(U$1-$AF59)^2</f>
        <v>51.258316326530675</v>
      </c>
      <c r="BA59">
        <f>V59*(V$1-$AF59)^2</f>
        <v>136.71540816326541</v>
      </c>
      <c r="BB59">
        <f>W59*(W$1-$AF59)^2</f>
        <v>195.20081632653071</v>
      </c>
      <c r="BC59">
        <f>X59*(X$1-$AF59)^2</f>
        <v>201.8576530612246</v>
      </c>
      <c r="BD59">
        <f>Y59*(Y$1-$AF59)^2</f>
        <v>211.20035714285723</v>
      </c>
      <c r="BE59">
        <f>Z59*(Z$1-$AF59)^2</f>
        <v>295.10035714285721</v>
      </c>
      <c r="BF59">
        <f>AA59*(AA$1-$AF59)^2</f>
        <v>280.71454081632658</v>
      </c>
      <c r="BG59">
        <f>AB59*(AB$1-$AF59)^2</f>
        <v>0</v>
      </c>
      <c r="BH59">
        <f>AC59*(AC$1-$AF59)^2</f>
        <v>90.114336734693893</v>
      </c>
      <c r="BI59">
        <f>AD59*(AD$1-$AF59)^2</f>
        <v>0</v>
      </c>
      <c r="BJ59">
        <f>AE59*(AE$1-$AF59)^2</f>
        <v>0</v>
      </c>
      <c r="BK59">
        <f>SQRT(SUM(AG59:BJ59)/SUM(B59:AE59))</f>
        <v>2.9820808376784456</v>
      </c>
      <c r="BL59">
        <f>_xlfn.FLOOR.MATH((AF59-BK59)/5)</f>
        <v>3</v>
      </c>
    </row>
    <row r="60" spans="1:64">
      <c r="A60" t="s">
        <v>333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2</v>
      </c>
      <c r="W60">
        <v>1</v>
      </c>
      <c r="X60">
        <v>3</v>
      </c>
      <c r="Y60">
        <v>3</v>
      </c>
      <c r="Z60">
        <v>8</v>
      </c>
      <c r="AA60">
        <v>2</v>
      </c>
      <c r="AB60">
        <v>1</v>
      </c>
      <c r="AC60">
        <v>1</v>
      </c>
      <c r="AD60">
        <v>0</v>
      </c>
      <c r="AE60">
        <v>0</v>
      </c>
      <c r="AF60">
        <f>SUMPRODUCT($B$1:$AE$1,B60:AE60)/SUM(B60:AE60)</f>
        <v>24.09090909090909</v>
      </c>
      <c r="AG60">
        <f>B60*(B$1-$AF60)^2</f>
        <v>0</v>
      </c>
      <c r="AH60">
        <f>C60*(C$1-$AF60)^2</f>
        <v>0</v>
      </c>
      <c r="AI60">
        <f>D60*(D$1-$AF60)^2</f>
        <v>0</v>
      </c>
      <c r="AJ60">
        <f>E60*(E$1-$AF60)^2</f>
        <v>0</v>
      </c>
      <c r="AK60">
        <f>F60*(F$1-$AF60)^2</f>
        <v>0</v>
      </c>
      <c r="AL60">
        <f>G60*(G$1-$AF60)^2</f>
        <v>0</v>
      </c>
      <c r="AM60">
        <f>H60*(H$1-$AF60)^2</f>
        <v>0</v>
      </c>
      <c r="AN60">
        <f>I60*(I$1-$AF60)^2</f>
        <v>0</v>
      </c>
      <c r="AO60">
        <f>J60*(J$1-$AF60)^2</f>
        <v>0</v>
      </c>
      <c r="AP60">
        <f>K60*(K$1-$AF60)^2</f>
        <v>0</v>
      </c>
      <c r="AQ60">
        <f>L60*(L$1-$AF60)^2</f>
        <v>0</v>
      </c>
      <c r="AR60">
        <f>M60*(M$1-$AF60)^2</f>
        <v>0</v>
      </c>
      <c r="AS60">
        <f>N60*(N$1-$AF60)^2</f>
        <v>0</v>
      </c>
      <c r="AT60">
        <f>O60*(O$1-$AF60)^2</f>
        <v>0</v>
      </c>
      <c r="AU60">
        <f>P60*(P$1-$AF60)^2</f>
        <v>0</v>
      </c>
      <c r="AV60">
        <f>Q60*(Q$1-$AF60)^2</f>
        <v>0</v>
      </c>
      <c r="AW60">
        <f>R60*(R$1-$AF60)^2</f>
        <v>0</v>
      </c>
      <c r="AX60">
        <f>S60*(S$1-$AF60)^2</f>
        <v>37.099173553718998</v>
      </c>
      <c r="AY60">
        <f>T60*(T$1-$AF60)^2</f>
        <v>0</v>
      </c>
      <c r="AZ60">
        <f>U60*(U$1-$AF60)^2</f>
        <v>0</v>
      </c>
      <c r="BA60">
        <f>V60*(V$1-$AF60)^2</f>
        <v>19.107438016528913</v>
      </c>
      <c r="BB60">
        <f>W60*(W$1-$AF60)^2</f>
        <v>4.3719008264462769</v>
      </c>
      <c r="BC60">
        <f>X60*(X$1-$AF60)^2</f>
        <v>3.570247933884291</v>
      </c>
      <c r="BD60">
        <f>Y60*(Y$1-$AF60)^2</f>
        <v>2.4793388429751536E-2</v>
      </c>
      <c r="BE60">
        <f>Z60*(Z$1-$AF60)^2</f>
        <v>6.6115702479338987</v>
      </c>
      <c r="BF60">
        <f>AA60*(AA$1-$AF60)^2</f>
        <v>7.2892561983471147</v>
      </c>
      <c r="BG60">
        <f>AB60*(AB$1-$AF60)^2</f>
        <v>8.4628099173553775</v>
      </c>
      <c r="BH60">
        <f>AC60*(AC$1-$AF60)^2</f>
        <v>15.280991735537198</v>
      </c>
      <c r="BI60">
        <f>AD60*(AD$1-$AF60)^2</f>
        <v>0</v>
      </c>
      <c r="BJ60">
        <f>AE60*(AE$1-$AF60)^2</f>
        <v>0</v>
      </c>
      <c r="BK60">
        <f>SQRT(SUM(AG60:BJ60)/SUM(B60:AE60))</f>
        <v>2.1513017393089515</v>
      </c>
      <c r="BL60">
        <f>_xlfn.FLOOR.MATH((AF60-BK60)/5)</f>
        <v>4</v>
      </c>
    </row>
    <row r="61" spans="1:64">
      <c r="A61" t="s">
        <v>334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3</v>
      </c>
      <c r="T61">
        <v>4</v>
      </c>
      <c r="U61">
        <v>5</v>
      </c>
      <c r="V61">
        <v>5</v>
      </c>
      <c r="W61">
        <v>4</v>
      </c>
      <c r="X61">
        <v>1</v>
      </c>
      <c r="Y61">
        <v>2</v>
      </c>
      <c r="Z61">
        <v>1</v>
      </c>
      <c r="AA61">
        <v>1</v>
      </c>
      <c r="AB61">
        <v>0</v>
      </c>
      <c r="AC61">
        <v>0</v>
      </c>
      <c r="AD61">
        <v>0</v>
      </c>
      <c r="AE61">
        <v>0</v>
      </c>
      <c r="AF61">
        <f>SUMPRODUCT($B$1:$AE$1,B61:AE61)/SUM(B61:AE61)</f>
        <v>20.642857142857142</v>
      </c>
      <c r="AG61">
        <f>B61*(B$1-$AF61)^2</f>
        <v>0</v>
      </c>
      <c r="AH61">
        <f>C61*(C$1-$AF61)^2</f>
        <v>0</v>
      </c>
      <c r="AI61">
        <f>D61*(D$1-$AF61)^2</f>
        <v>0</v>
      </c>
      <c r="AJ61">
        <f>E61*(E$1-$AF61)^2</f>
        <v>0</v>
      </c>
      <c r="AK61">
        <f>F61*(F$1-$AF61)^2</f>
        <v>0</v>
      </c>
      <c r="AL61">
        <f>G61*(G$1-$AF61)^2</f>
        <v>0</v>
      </c>
      <c r="AM61">
        <f>H61*(H$1-$AF61)^2</f>
        <v>0</v>
      </c>
      <c r="AN61">
        <f>I61*(I$1-$AF61)^2</f>
        <v>0</v>
      </c>
      <c r="AO61">
        <f>J61*(J$1-$AF61)^2</f>
        <v>0</v>
      </c>
      <c r="AP61">
        <f>K61*(K$1-$AF61)^2</f>
        <v>0</v>
      </c>
      <c r="AQ61">
        <f>L61*(L$1-$AF61)^2</f>
        <v>0</v>
      </c>
      <c r="AR61">
        <f>M61*(M$1-$AF61)^2</f>
        <v>0</v>
      </c>
      <c r="AS61">
        <f>N61*(N$1-$AF61)^2</f>
        <v>0</v>
      </c>
      <c r="AT61">
        <f>O61*(O$1-$AF61)^2</f>
        <v>0</v>
      </c>
      <c r="AU61">
        <f>P61*(P$1-$AF61)^2</f>
        <v>0</v>
      </c>
      <c r="AV61">
        <f>Q61*(Q$1-$AF61)^2</f>
        <v>21.556122448979586</v>
      </c>
      <c r="AW61">
        <f>R61*(R$1-$AF61)^2</f>
        <v>13.270408163265303</v>
      </c>
      <c r="AX61">
        <f>S61*(S$1-$AF61)^2</f>
        <v>20.954081632653054</v>
      </c>
      <c r="AY61">
        <f>T61*(T$1-$AF61)^2</f>
        <v>10.795918367346932</v>
      </c>
      <c r="AZ61">
        <f>U61*(U$1-$AF61)^2</f>
        <v>2.0663265306122418</v>
      </c>
      <c r="BA61">
        <f>V61*(V$1-$AF61)^2</f>
        <v>0.63775510204081809</v>
      </c>
      <c r="BB61">
        <f>W61*(W$1-$AF61)^2</f>
        <v>7.3673469387755155</v>
      </c>
      <c r="BC61">
        <f>X61*(X$1-$AF61)^2</f>
        <v>5.5561224489795942</v>
      </c>
      <c r="BD61">
        <f>Y61*(Y$1-$AF61)^2</f>
        <v>22.540816326530621</v>
      </c>
      <c r="BE61">
        <f>Z61*(Z$1-$AF61)^2</f>
        <v>18.984693877551024</v>
      </c>
      <c r="BF61">
        <f>AA61*(AA$1-$AF61)^2</f>
        <v>28.698979591836739</v>
      </c>
      <c r="BG61">
        <f>AB61*(AB$1-$AF61)^2</f>
        <v>0</v>
      </c>
      <c r="BH61">
        <f>AC61*(AC$1-$AF61)^2</f>
        <v>0</v>
      </c>
      <c r="BI61">
        <f>AD61*(AD$1-$AF61)^2</f>
        <v>0</v>
      </c>
      <c r="BJ61">
        <f>AE61*(AE$1-$AF61)^2</f>
        <v>0</v>
      </c>
      <c r="BK61">
        <f>SQRT(SUM(AG61:BJ61)/SUM(B61:AE61))</f>
        <v>2.3332118530087249</v>
      </c>
      <c r="BL61">
        <f>_xlfn.FLOOR.MATH((AF61-BK61)/5)</f>
        <v>3</v>
      </c>
    </row>
    <row r="62" spans="1:64">
      <c r="A62" t="s">
        <v>335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2</v>
      </c>
      <c r="U62">
        <v>0</v>
      </c>
      <c r="V62">
        <v>2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f>SUMPRODUCT($B$1:$AE$1,B62:AE62)/SUM(B62:AE62)</f>
        <v>20</v>
      </c>
      <c r="AG62">
        <f>B62*(B$1-$AF62)^2</f>
        <v>0</v>
      </c>
      <c r="AH62">
        <f>C62*(C$1-$AF62)^2</f>
        <v>0</v>
      </c>
      <c r="AI62">
        <f>D62*(D$1-$AF62)^2</f>
        <v>0</v>
      </c>
      <c r="AJ62">
        <f>E62*(E$1-$AF62)^2</f>
        <v>0</v>
      </c>
      <c r="AK62">
        <f>F62*(F$1-$AF62)^2</f>
        <v>0</v>
      </c>
      <c r="AL62">
        <f>G62*(G$1-$AF62)^2</f>
        <v>0</v>
      </c>
      <c r="AM62">
        <f>H62*(H$1-$AF62)^2</f>
        <v>0</v>
      </c>
      <c r="AN62">
        <f>I62*(I$1-$AF62)^2</f>
        <v>0</v>
      </c>
      <c r="AO62">
        <f>J62*(J$1-$AF62)^2</f>
        <v>0</v>
      </c>
      <c r="AP62">
        <f>K62*(K$1-$AF62)^2</f>
        <v>0</v>
      </c>
      <c r="AQ62">
        <f>L62*(L$1-$AF62)^2</f>
        <v>0</v>
      </c>
      <c r="AR62">
        <f>M62*(M$1-$AF62)^2</f>
        <v>0</v>
      </c>
      <c r="AS62">
        <f>N62*(N$1-$AF62)^2</f>
        <v>0</v>
      </c>
      <c r="AT62">
        <f>O62*(O$1-$AF62)^2</f>
        <v>0</v>
      </c>
      <c r="AU62">
        <f>P62*(P$1-$AF62)^2</f>
        <v>0</v>
      </c>
      <c r="AV62">
        <f>Q62*(Q$1-$AF62)^2</f>
        <v>0</v>
      </c>
      <c r="AW62">
        <f>R62*(R$1-$AF62)^2</f>
        <v>0</v>
      </c>
      <c r="AX62">
        <f>S62*(S$1-$AF62)^2</f>
        <v>4</v>
      </c>
      <c r="AY62">
        <f>T62*(T$1-$AF62)^2</f>
        <v>2</v>
      </c>
      <c r="AZ62">
        <f>U62*(U$1-$AF62)^2</f>
        <v>0</v>
      </c>
      <c r="BA62">
        <f>V62*(V$1-$AF62)^2</f>
        <v>2</v>
      </c>
      <c r="BB62">
        <f>W62*(W$1-$AF62)^2</f>
        <v>4</v>
      </c>
      <c r="BC62">
        <f>X62*(X$1-$AF62)^2</f>
        <v>0</v>
      </c>
      <c r="BD62">
        <f>Y62*(Y$1-$AF62)^2</f>
        <v>0</v>
      </c>
      <c r="BE62">
        <f>Z62*(Z$1-$AF62)^2</f>
        <v>0</v>
      </c>
      <c r="BF62">
        <f>AA62*(AA$1-$AF62)^2</f>
        <v>0</v>
      </c>
      <c r="BG62">
        <f>AB62*(AB$1-$AF62)^2</f>
        <v>0</v>
      </c>
      <c r="BH62">
        <f>AC62*(AC$1-$AF62)^2</f>
        <v>0</v>
      </c>
      <c r="BI62">
        <f>AD62*(AD$1-$AF62)^2</f>
        <v>0</v>
      </c>
      <c r="BJ62">
        <f>AE62*(AE$1-$AF62)^2</f>
        <v>0</v>
      </c>
      <c r="BK62">
        <f>SQRT(SUM(AG62:BJ62)/SUM(B62:AE62))</f>
        <v>1.4142135623730951</v>
      </c>
      <c r="BL62">
        <f>_xlfn.FLOOR.MATH((AF62-BK62)/5)</f>
        <v>3</v>
      </c>
    </row>
    <row r="63" spans="1:64">
      <c r="A63" t="s">
        <v>336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1</v>
      </c>
      <c r="V63">
        <v>7</v>
      </c>
      <c r="W63">
        <v>4</v>
      </c>
      <c r="X63">
        <v>3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f>SUMPRODUCT($B$1:$AE$1,B63:AE63)/SUM(B63:AE63)</f>
        <v>21.875</v>
      </c>
      <c r="AG63">
        <f>B63*(B$1-$AF63)^2</f>
        <v>0</v>
      </c>
      <c r="AH63">
        <f>C63*(C$1-$AF63)^2</f>
        <v>0</v>
      </c>
      <c r="AI63">
        <f>D63*(D$1-$AF63)^2</f>
        <v>0</v>
      </c>
      <c r="AJ63">
        <f>E63*(E$1-$AF63)^2</f>
        <v>0</v>
      </c>
      <c r="AK63">
        <f>F63*(F$1-$AF63)^2</f>
        <v>0</v>
      </c>
      <c r="AL63">
        <f>G63*(G$1-$AF63)^2</f>
        <v>0</v>
      </c>
      <c r="AM63">
        <f>H63*(H$1-$AF63)^2</f>
        <v>0</v>
      </c>
      <c r="AN63">
        <f>I63*(I$1-$AF63)^2</f>
        <v>0</v>
      </c>
      <c r="AO63">
        <f>J63*(J$1-$AF63)^2</f>
        <v>0</v>
      </c>
      <c r="AP63">
        <f>K63*(K$1-$AF63)^2</f>
        <v>0</v>
      </c>
      <c r="AQ63">
        <f>L63*(L$1-$AF63)^2</f>
        <v>0</v>
      </c>
      <c r="AR63">
        <f>M63*(M$1-$AF63)^2</f>
        <v>0</v>
      </c>
      <c r="AS63">
        <f>N63*(N$1-$AF63)^2</f>
        <v>0</v>
      </c>
      <c r="AT63">
        <f>O63*(O$1-$AF63)^2</f>
        <v>0</v>
      </c>
      <c r="AU63">
        <f>P63*(P$1-$AF63)^2</f>
        <v>0</v>
      </c>
      <c r="AV63">
        <f>Q63*(Q$1-$AF63)^2</f>
        <v>0</v>
      </c>
      <c r="AW63">
        <f>R63*(R$1-$AF63)^2</f>
        <v>0</v>
      </c>
      <c r="AX63">
        <f>S63*(S$1-$AF63)^2</f>
        <v>0</v>
      </c>
      <c r="AY63">
        <f>T63*(T$1-$AF63)^2</f>
        <v>0</v>
      </c>
      <c r="AZ63">
        <f>U63*(U$1-$AF63)^2</f>
        <v>3.515625</v>
      </c>
      <c r="BA63">
        <f>V63*(V$1-$AF63)^2</f>
        <v>5.359375</v>
      </c>
      <c r="BB63">
        <f>W63*(W$1-$AF63)^2</f>
        <v>6.25E-2</v>
      </c>
      <c r="BC63">
        <f>X63*(X$1-$AF63)^2</f>
        <v>3.796875</v>
      </c>
      <c r="BD63">
        <f>Y63*(Y$1-$AF63)^2</f>
        <v>0</v>
      </c>
      <c r="BE63">
        <f>Z63*(Z$1-$AF63)^2</f>
        <v>0</v>
      </c>
      <c r="BF63">
        <f>AA63*(AA$1-$AF63)^2</f>
        <v>17.015625</v>
      </c>
      <c r="BG63">
        <f>AB63*(AB$1-$AF63)^2</f>
        <v>0</v>
      </c>
      <c r="BH63">
        <f>AC63*(AC$1-$AF63)^2</f>
        <v>0</v>
      </c>
      <c r="BI63">
        <f>AD63*(AD$1-$AF63)^2</f>
        <v>0</v>
      </c>
      <c r="BJ63">
        <f>AE63*(AE$1-$AF63)^2</f>
        <v>0</v>
      </c>
      <c r="BK63">
        <f>SQRT(SUM(AG63:BJ63)/SUM(B63:AE63))</f>
        <v>1.3635890143294642</v>
      </c>
      <c r="BL63">
        <f>_xlfn.FLOOR.MATH((AF63-BK63)/5)</f>
        <v>4</v>
      </c>
    </row>
    <row r="64" spans="1:64">
      <c r="A64" t="s">
        <v>337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2</v>
      </c>
      <c r="M64">
        <v>8</v>
      </c>
      <c r="N64">
        <v>21</v>
      </c>
      <c r="O64">
        <v>15</v>
      </c>
      <c r="P64">
        <v>21</v>
      </c>
      <c r="Q64">
        <v>31</v>
      </c>
      <c r="R64">
        <v>32</v>
      </c>
      <c r="S64">
        <v>30</v>
      </c>
      <c r="T64">
        <v>48</v>
      </c>
      <c r="U64">
        <v>29</v>
      </c>
      <c r="V64">
        <v>25</v>
      </c>
      <c r="W64">
        <v>41</v>
      </c>
      <c r="X64">
        <v>32</v>
      </c>
      <c r="Y64">
        <v>18</v>
      </c>
      <c r="Z64">
        <v>12</v>
      </c>
      <c r="AA64">
        <v>23</v>
      </c>
      <c r="AB64">
        <v>9</v>
      </c>
      <c r="AC64">
        <v>1</v>
      </c>
      <c r="AD64">
        <v>2</v>
      </c>
      <c r="AE64">
        <v>0</v>
      </c>
      <c r="AF64">
        <f>SUMPRODUCT($B$1:$AE$1,B64:AE64)/SUM(B64:AE64)</f>
        <v>19.524999999999999</v>
      </c>
      <c r="AG64">
        <f>B64*(B$1-$AF64)^2</f>
        <v>0</v>
      </c>
      <c r="AH64">
        <f>C64*(C$1-$AF64)^2</f>
        <v>0</v>
      </c>
      <c r="AI64">
        <f>D64*(D$1-$AF64)^2</f>
        <v>0</v>
      </c>
      <c r="AJ64">
        <f>E64*(E$1-$AF64)^2</f>
        <v>0</v>
      </c>
      <c r="AK64">
        <f>F64*(F$1-$AF64)^2</f>
        <v>0</v>
      </c>
      <c r="AL64">
        <f>G64*(G$1-$AF64)^2</f>
        <v>0</v>
      </c>
      <c r="AM64">
        <f>H64*(H$1-$AF64)^2</f>
        <v>0</v>
      </c>
      <c r="AN64">
        <f>I64*(I$1-$AF64)^2</f>
        <v>0</v>
      </c>
      <c r="AO64">
        <f>J64*(J$1-$AF64)^2</f>
        <v>0</v>
      </c>
      <c r="AP64">
        <f>K64*(K$1-$AF64)^2</f>
        <v>0</v>
      </c>
      <c r="AQ64">
        <f>L64*(L$1-$AF64)^2</f>
        <v>145.35124999999996</v>
      </c>
      <c r="AR64">
        <f>M64*(M$1-$AF64)^2</f>
        <v>453.00499999999982</v>
      </c>
      <c r="AS64">
        <f>N64*(N$1-$AF64)^2</f>
        <v>894.08812499999965</v>
      </c>
      <c r="AT64">
        <f>O64*(O$1-$AF64)^2</f>
        <v>457.88437499999975</v>
      </c>
      <c r="AU64">
        <f>P64*(P$1-$AF64)^2</f>
        <v>429.98812499999974</v>
      </c>
      <c r="AV64">
        <f>Q64*(Q$1-$AF64)^2</f>
        <v>385.1943749999997</v>
      </c>
      <c r="AW64">
        <f>R64*(R$1-$AF64)^2</f>
        <v>204.01999999999978</v>
      </c>
      <c r="AX64">
        <f>S64*(S$1-$AF64)^2</f>
        <v>69.768749999999869</v>
      </c>
      <c r="AY64">
        <f>T64*(T$1-$AF64)^2</f>
        <v>13.229999999999929</v>
      </c>
      <c r="AZ64">
        <f>U64*(U$1-$AF64)^2</f>
        <v>6.5431250000000389</v>
      </c>
      <c r="BA64">
        <f>V64*(V$1-$AF64)^2</f>
        <v>54.390625000000107</v>
      </c>
      <c r="BB64">
        <f>W64*(W$1-$AF64)^2</f>
        <v>251.1506250000003</v>
      </c>
      <c r="BC64">
        <f>X64*(X$1-$AF64)^2</f>
        <v>386.4200000000003</v>
      </c>
      <c r="BD64">
        <f>Y64*(Y$1-$AF64)^2</f>
        <v>360.46125000000023</v>
      </c>
      <c r="BE64">
        <f>Z64*(Z$1-$AF64)^2</f>
        <v>359.70750000000021</v>
      </c>
      <c r="BF64">
        <f>AA64*(AA$1-$AF64)^2</f>
        <v>964.2893750000004</v>
      </c>
      <c r="BG64">
        <f>AB64*(AB$1-$AF64)^2</f>
        <v>502.88062500000018</v>
      </c>
      <c r="BH64">
        <f>AC64*(AC$1-$AF64)^2</f>
        <v>71.825625000000031</v>
      </c>
      <c r="BI64">
        <f>AD64*(AD$1-$AF64)^2</f>
        <v>179.55125000000007</v>
      </c>
      <c r="BJ64">
        <f>AE64*(AE$1-$AF64)^2</f>
        <v>0</v>
      </c>
      <c r="BK64">
        <f>SQRT(SUM(AG64:BJ64)/SUM(B64:AE64))</f>
        <v>3.9337482125830068</v>
      </c>
      <c r="BL64">
        <f>_xlfn.FLOOR.MATH((AF64-BK64)/5)</f>
        <v>3</v>
      </c>
    </row>
    <row r="65" spans="1:64">
      <c r="A65" t="s">
        <v>338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2</v>
      </c>
      <c r="V65">
        <v>1</v>
      </c>
      <c r="W65">
        <v>2</v>
      </c>
      <c r="X65">
        <v>1</v>
      </c>
      <c r="Y65">
        <v>2</v>
      </c>
      <c r="Z65">
        <v>2</v>
      </c>
      <c r="AA65">
        <v>0</v>
      </c>
      <c r="AB65">
        <v>0</v>
      </c>
      <c r="AC65">
        <v>2</v>
      </c>
      <c r="AD65">
        <v>0</v>
      </c>
      <c r="AE65">
        <v>0</v>
      </c>
      <c r="AF65">
        <f>SUMPRODUCT($B$1:$AE$1,B65:AE65)/SUM(B65:AE65)</f>
        <v>23.153846153846153</v>
      </c>
      <c r="AG65">
        <f>B65*(B$1-$AF65)^2</f>
        <v>0</v>
      </c>
      <c r="AH65">
        <f>C65*(C$1-$AF65)^2</f>
        <v>0</v>
      </c>
      <c r="AI65">
        <f>D65*(D$1-$AF65)^2</f>
        <v>0</v>
      </c>
      <c r="AJ65">
        <f>E65*(E$1-$AF65)^2</f>
        <v>0</v>
      </c>
      <c r="AK65">
        <f>F65*(F$1-$AF65)^2</f>
        <v>0</v>
      </c>
      <c r="AL65">
        <f>G65*(G$1-$AF65)^2</f>
        <v>0</v>
      </c>
      <c r="AM65">
        <f>H65*(H$1-$AF65)^2</f>
        <v>0</v>
      </c>
      <c r="AN65">
        <f>I65*(I$1-$AF65)^2</f>
        <v>0</v>
      </c>
      <c r="AO65">
        <f>J65*(J$1-$AF65)^2</f>
        <v>0</v>
      </c>
      <c r="AP65">
        <f>K65*(K$1-$AF65)^2</f>
        <v>0</v>
      </c>
      <c r="AQ65">
        <f>L65*(L$1-$AF65)^2</f>
        <v>0</v>
      </c>
      <c r="AR65">
        <f>M65*(M$1-$AF65)^2</f>
        <v>0</v>
      </c>
      <c r="AS65">
        <f>N65*(N$1-$AF65)^2</f>
        <v>0</v>
      </c>
      <c r="AT65">
        <f>O65*(O$1-$AF65)^2</f>
        <v>0</v>
      </c>
      <c r="AU65">
        <f>P65*(P$1-$AF65)^2</f>
        <v>0</v>
      </c>
      <c r="AV65">
        <f>Q65*(Q$1-$AF65)^2</f>
        <v>0</v>
      </c>
      <c r="AW65">
        <f>R65*(R$1-$AF65)^2</f>
        <v>0</v>
      </c>
      <c r="AX65">
        <f>S65*(S$1-$AF65)^2</f>
        <v>0</v>
      </c>
      <c r="AY65">
        <f>T65*(T$1-$AF65)^2</f>
        <v>17.254437869822482</v>
      </c>
      <c r="AZ65">
        <f>U65*(U$1-$AF65)^2</f>
        <v>19.893491124260347</v>
      </c>
      <c r="BA65">
        <f>V65*(V$1-$AF65)^2</f>
        <v>4.6390532544378678</v>
      </c>
      <c r="BB65">
        <f>W65*(W$1-$AF65)^2</f>
        <v>2.6627218934911219</v>
      </c>
      <c r="BC65">
        <f>X65*(X$1-$AF65)^2</f>
        <v>2.3668639053254271E-2</v>
      </c>
      <c r="BD65">
        <f>Y65*(Y$1-$AF65)^2</f>
        <v>1.4319526627218953</v>
      </c>
      <c r="BE65">
        <f>Z65*(Z$1-$AF65)^2</f>
        <v>6.8165680473372818</v>
      </c>
      <c r="BF65">
        <f>AA65*(AA$1-$AF65)^2</f>
        <v>0</v>
      </c>
      <c r="BG65">
        <f>AB65*(AB$1-$AF65)^2</f>
        <v>0</v>
      </c>
      <c r="BH65">
        <f>AC65*(AC$1-$AF65)^2</f>
        <v>46.970414201183445</v>
      </c>
      <c r="BI65">
        <f>AD65*(AD$1-$AF65)^2</f>
        <v>0</v>
      </c>
      <c r="BJ65">
        <f>AE65*(AE$1-$AF65)^2</f>
        <v>0</v>
      </c>
      <c r="BK65">
        <f>SQRT(SUM(AG65:BJ65)/SUM(B65:AE65))</f>
        <v>2.7692307692307696</v>
      </c>
      <c r="BL65">
        <f>_xlfn.FLOOR.MATH((AF65-BK65)/5)</f>
        <v>4</v>
      </c>
    </row>
    <row r="66" spans="1:64">
      <c r="A66" t="s">
        <v>339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U66">
        <v>0</v>
      </c>
      <c r="V66">
        <v>0</v>
      </c>
      <c r="W66">
        <v>4</v>
      </c>
      <c r="X66">
        <v>2</v>
      </c>
      <c r="Y66">
        <v>2</v>
      </c>
      <c r="Z66">
        <v>1</v>
      </c>
      <c r="AA66">
        <v>2</v>
      </c>
      <c r="AB66">
        <v>0</v>
      </c>
      <c r="AC66">
        <v>1</v>
      </c>
      <c r="AD66">
        <v>0</v>
      </c>
      <c r="AE66">
        <v>1</v>
      </c>
      <c r="AF66">
        <f>SUMPRODUCT($B$1:$AE$1,B66:AE66)/SUM(B66:AE66)</f>
        <v>23.928571428571427</v>
      </c>
      <c r="AG66">
        <f>B66*(B$1-$AF66)^2</f>
        <v>0</v>
      </c>
      <c r="AH66">
        <f>C66*(C$1-$AF66)^2</f>
        <v>0</v>
      </c>
      <c r="AI66">
        <f>D66*(D$1-$AF66)^2</f>
        <v>0</v>
      </c>
      <c r="AJ66">
        <f>E66*(E$1-$AF66)^2</f>
        <v>0</v>
      </c>
      <c r="AK66">
        <f>F66*(F$1-$AF66)^2</f>
        <v>0</v>
      </c>
      <c r="AL66">
        <f>G66*(G$1-$AF66)^2</f>
        <v>0</v>
      </c>
      <c r="AM66">
        <f>H66*(H$1-$AF66)^2</f>
        <v>0</v>
      </c>
      <c r="AN66">
        <f>I66*(I$1-$AF66)^2</f>
        <v>0</v>
      </c>
      <c r="AO66">
        <f>J66*(J$1-$AF66)^2</f>
        <v>0</v>
      </c>
      <c r="AP66">
        <f>K66*(K$1-$AF66)^2</f>
        <v>0</v>
      </c>
      <c r="AQ66">
        <f>L66*(L$1-$AF66)^2</f>
        <v>0</v>
      </c>
      <c r="AR66">
        <f>M66*(M$1-$AF66)^2</f>
        <v>0</v>
      </c>
      <c r="AS66">
        <f>N66*(N$1-$AF66)^2</f>
        <v>0</v>
      </c>
      <c r="AT66">
        <f>O66*(O$1-$AF66)^2</f>
        <v>0</v>
      </c>
      <c r="AU66">
        <f>P66*(P$1-$AF66)^2</f>
        <v>0</v>
      </c>
      <c r="AV66">
        <f>Q66*(Q$1-$AF66)^2</f>
        <v>0</v>
      </c>
      <c r="AW66">
        <f>R66*(R$1-$AF66)^2</f>
        <v>0</v>
      </c>
      <c r="AX66">
        <f>S66*(S$1-$AF66)^2</f>
        <v>35.14795918367345</v>
      </c>
      <c r="AY66">
        <f>T66*(T$1-$AF66)^2</f>
        <v>0</v>
      </c>
      <c r="AZ66">
        <f>U66*(U$1-$AF66)^2</f>
        <v>0</v>
      </c>
      <c r="BA66">
        <f>V66*(V$1-$AF66)^2</f>
        <v>0</v>
      </c>
      <c r="BB66">
        <f>W66*(W$1-$AF66)^2</f>
        <v>14.87755102040814</v>
      </c>
      <c r="BC66">
        <f>X66*(X$1-$AF66)^2</f>
        <v>1.7244897959183616</v>
      </c>
      <c r="BD66">
        <f>Y66*(Y$1-$AF66)^2</f>
        <v>1.0204081632653496E-2</v>
      </c>
      <c r="BE66">
        <f>Z66*(Z$1-$AF66)^2</f>
        <v>1.1479591836734726</v>
      </c>
      <c r="BF66">
        <f>AA66*(AA$1-$AF66)^2</f>
        <v>8.5816326530612379</v>
      </c>
      <c r="BG66">
        <f>AB66*(AB$1-$AF66)^2</f>
        <v>0</v>
      </c>
      <c r="BH66">
        <f>AC66*(AC$1-$AF66)^2</f>
        <v>16.576530612244909</v>
      </c>
      <c r="BI66">
        <f>AD66*(AD$1-$AF66)^2</f>
        <v>0</v>
      </c>
      <c r="BJ66">
        <f>AE66*(AE$1-$AF66)^2</f>
        <v>36.862244897959201</v>
      </c>
      <c r="BK66">
        <f>SQRT(SUM(AG66:BJ66)/SUM(B66:AE66))</f>
        <v>2.8651673028759395</v>
      </c>
      <c r="BL66">
        <f>_xlfn.FLOOR.MATH((AF66-BK66)/5)</f>
        <v>4</v>
      </c>
    </row>
    <row r="67" spans="1:64">
      <c r="A67" t="s">
        <v>340</v>
      </c>
      <c r="B67">
        <v>0</v>
      </c>
      <c r="C67">
        <v>0</v>
      </c>
      <c r="D67">
        <v>1</v>
      </c>
      <c r="E67">
        <v>2</v>
      </c>
      <c r="F67">
        <v>9</v>
      </c>
      <c r="G67">
        <v>12</v>
      </c>
      <c r="H67">
        <v>22</v>
      </c>
      <c r="I67">
        <v>8</v>
      </c>
      <c r="J67">
        <v>14</v>
      </c>
      <c r="K67">
        <v>20</v>
      </c>
      <c r="L67">
        <v>10</v>
      </c>
      <c r="M67">
        <v>13</v>
      </c>
      <c r="N67">
        <v>10</v>
      </c>
      <c r="O67">
        <v>8</v>
      </c>
      <c r="P67">
        <v>10</v>
      </c>
      <c r="Q67">
        <v>3</v>
      </c>
      <c r="R67">
        <v>9</v>
      </c>
      <c r="S67">
        <v>6</v>
      </c>
      <c r="T67">
        <v>6</v>
      </c>
      <c r="U67">
        <v>5</v>
      </c>
      <c r="V67">
        <v>6</v>
      </c>
      <c r="W67">
        <v>3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f>SUMPRODUCT($B$1:$AE$1,B67:AE67)/SUM(B67:AE67)</f>
        <v>11.629213483146067</v>
      </c>
      <c r="AG67">
        <f>B67*(B$1-$AF67)^2</f>
        <v>0</v>
      </c>
      <c r="AH67">
        <f>C67*(C$1-$AF67)^2</f>
        <v>0</v>
      </c>
      <c r="AI67">
        <f>D67*(D$1-$AF67)^2</f>
        <v>74.463325337709875</v>
      </c>
      <c r="AJ67">
        <f>E67*(E$1-$AF67)^2</f>
        <v>116.4097967428355</v>
      </c>
      <c r="AK67">
        <f>F67*(F$1-$AF67)^2</f>
        <v>395.51824264613055</v>
      </c>
      <c r="AL67">
        <f>G67*(G$1-$AF67)^2</f>
        <v>380.25653326600172</v>
      </c>
      <c r="AM67">
        <f>H67*(H$1-$AF67)^2</f>
        <v>471.45158439590961</v>
      </c>
      <c r="AN67">
        <f>I67*(I$1-$AF67)^2</f>
        <v>105.36952404999367</v>
      </c>
      <c r="AO67">
        <f>J67*(J$1-$AF67)^2</f>
        <v>96.778689559399041</v>
      </c>
      <c r="AP67">
        <f>K67*(K$1-$AF67)^2</f>
        <v>53.086731473298812</v>
      </c>
      <c r="AQ67">
        <f>L67*(L$1-$AF67)^2</f>
        <v>3.9590960737280616</v>
      </c>
      <c r="AR67">
        <f>M67*(M$1-$AF67)^2</f>
        <v>1.7872743340487336</v>
      </c>
      <c r="AS67">
        <f>N67*(N$1-$AF67)^2</f>
        <v>18.790556747885375</v>
      </c>
      <c r="AT67">
        <f>O67*(O$1-$AF67)^2</f>
        <v>44.965029667971223</v>
      </c>
      <c r="AU67">
        <f>P67*(P$1-$AF67)^2</f>
        <v>113.62201742204269</v>
      </c>
      <c r="AV67">
        <f>Q67*(Q$1-$AF67)^2</f>
        <v>57.311324327736408</v>
      </c>
      <c r="AW67">
        <f>R67*(R$1-$AF67)^2</f>
        <v>259.60813028658004</v>
      </c>
      <c r="AX67">
        <f>S67*(S$1-$AF67)^2</f>
        <v>243.52152505996719</v>
      </c>
      <c r="AY67">
        <f>T67*(T$1-$AF67)^2</f>
        <v>325.97096326221441</v>
      </c>
      <c r="AZ67">
        <f>U67*(U$1-$AF67)^2</f>
        <v>350.35033455371797</v>
      </c>
      <c r="BA67">
        <f>V67*(V$1-$AF67)^2</f>
        <v>526.86983966670869</v>
      </c>
      <c r="BB67">
        <f>W67*(W$1-$AF67)^2</f>
        <v>322.65963893447798</v>
      </c>
      <c r="BC67">
        <f>X67*(X$1-$AF67)^2</f>
        <v>0</v>
      </c>
      <c r="BD67">
        <f>Y67*(Y$1-$AF67)^2</f>
        <v>0</v>
      </c>
      <c r="BE67">
        <f>Z67*(Z$1-$AF67)^2</f>
        <v>178.77793207928292</v>
      </c>
      <c r="BF67">
        <f>AA67*(AA$1-$AF67)^2</f>
        <v>0</v>
      </c>
      <c r="BG67">
        <f>AB67*(AB$1-$AF67)^2</f>
        <v>0</v>
      </c>
      <c r="BH67">
        <f>AC67*(AC$1-$AF67)^2</f>
        <v>0</v>
      </c>
      <c r="BI67">
        <f>AD67*(AD$1-$AF67)^2</f>
        <v>0</v>
      </c>
      <c r="BJ67">
        <f>AE67*(AE$1-$AF67)^2</f>
        <v>0</v>
      </c>
      <c r="BK67">
        <f>SQRT(SUM(AG67:BJ67)/SUM(B67:AE67))</f>
        <v>4.8235890932936858</v>
      </c>
      <c r="BL67">
        <f>_xlfn.FLOOR.MATH((AF67-BK67)/5)</f>
        <v>1</v>
      </c>
    </row>
    <row r="68" spans="1:64">
      <c r="A68" t="s">
        <v>341</v>
      </c>
      <c r="B68">
        <v>0</v>
      </c>
      <c r="C68">
        <v>0</v>
      </c>
      <c r="D68">
        <v>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</v>
      </c>
      <c r="O68">
        <v>1</v>
      </c>
      <c r="P68">
        <v>0</v>
      </c>
      <c r="Q68">
        <v>2</v>
      </c>
      <c r="R68">
        <v>1</v>
      </c>
      <c r="S68">
        <v>1</v>
      </c>
      <c r="T68">
        <v>1</v>
      </c>
      <c r="U68">
        <v>4</v>
      </c>
      <c r="V68">
        <v>4</v>
      </c>
      <c r="W68">
        <v>3</v>
      </c>
      <c r="X68">
        <v>6</v>
      </c>
      <c r="Y68">
        <v>2</v>
      </c>
      <c r="Z68">
        <v>1</v>
      </c>
      <c r="AA68">
        <v>1</v>
      </c>
      <c r="AB68">
        <v>0</v>
      </c>
      <c r="AC68">
        <v>0</v>
      </c>
      <c r="AD68">
        <v>0</v>
      </c>
      <c r="AE68">
        <v>0</v>
      </c>
      <c r="AF68">
        <f>SUMPRODUCT($B$1:$AE$1,B68:AE68)/SUM(B68:AE68)</f>
        <v>20.103448275862068</v>
      </c>
      <c r="AG68">
        <f>B68*(B$1-$AF68)^2</f>
        <v>0</v>
      </c>
      <c r="AH68">
        <f>C68*(C$1-$AF68)^2</f>
        <v>0</v>
      </c>
      <c r="AI68">
        <f>D68*(D$1-$AF68)^2</f>
        <v>292.52794292508912</v>
      </c>
      <c r="AJ68">
        <f>E68*(E$1-$AF68)^2</f>
        <v>0</v>
      </c>
      <c r="AK68">
        <f>F68*(F$1-$AF68)^2</f>
        <v>0</v>
      </c>
      <c r="AL68">
        <f>G68*(G$1-$AF68)^2</f>
        <v>0</v>
      </c>
      <c r="AM68">
        <f>H68*(H$1-$AF68)^2</f>
        <v>0</v>
      </c>
      <c r="AN68">
        <f>I68*(I$1-$AF68)^2</f>
        <v>0</v>
      </c>
      <c r="AO68">
        <f>J68*(J$1-$AF68)^2</f>
        <v>0</v>
      </c>
      <c r="AP68">
        <f>K68*(K$1-$AF68)^2</f>
        <v>0</v>
      </c>
      <c r="AQ68">
        <f>L68*(L$1-$AF68)^2</f>
        <v>0</v>
      </c>
      <c r="AR68">
        <f>M68*(M$1-$AF68)^2</f>
        <v>0</v>
      </c>
      <c r="AS68">
        <f>N68*(N$1-$AF68)^2</f>
        <v>50.458977407847783</v>
      </c>
      <c r="AT68">
        <f>O68*(O$1-$AF68)^2</f>
        <v>37.252080856123648</v>
      </c>
      <c r="AU68">
        <f>P68*(P$1-$AF68)^2</f>
        <v>0</v>
      </c>
      <c r="AV68">
        <f>Q68*(Q$1-$AF68)^2</f>
        <v>33.676575505350748</v>
      </c>
      <c r="AW68">
        <f>R68*(R$1-$AF68)^2</f>
        <v>9.6313912009512404</v>
      </c>
      <c r="AX68">
        <f>S68*(S$1-$AF68)^2</f>
        <v>4.4244946492271051</v>
      </c>
      <c r="AY68">
        <f>T68*(T$1-$AF68)^2</f>
        <v>1.2175980975029697</v>
      </c>
      <c r="AZ68">
        <f>U68*(U$1-$AF68)^2</f>
        <v>4.2806183115337765E-2</v>
      </c>
      <c r="BA68">
        <f>V68*(V$1-$AF68)^2</f>
        <v>3.2152199762187967</v>
      </c>
      <c r="BB68">
        <f>W68*(W$1-$AF68)^2</f>
        <v>10.790725326991693</v>
      </c>
      <c r="BC68">
        <f>X68*(X$1-$AF68)^2</f>
        <v>50.34007134363857</v>
      </c>
      <c r="BD68">
        <f>Y68*(Y$1-$AF68)^2</f>
        <v>30.366230677764587</v>
      </c>
      <c r="BE68">
        <f>Z68*(Z$1-$AF68)^2</f>
        <v>23.976218787158157</v>
      </c>
      <c r="BF68">
        <f>AA68*(AA$1-$AF68)^2</f>
        <v>34.769322235434025</v>
      </c>
      <c r="BG68">
        <f>AB68*(AB$1-$AF68)^2</f>
        <v>0</v>
      </c>
      <c r="BH68">
        <f>AC68*(AC$1-$AF68)^2</f>
        <v>0</v>
      </c>
      <c r="BI68">
        <f>AD68*(AD$1-$AF68)^2</f>
        <v>0</v>
      </c>
      <c r="BJ68">
        <f>AE68*(AE$1-$AF68)^2</f>
        <v>0</v>
      </c>
      <c r="BK68">
        <f>SQRT(SUM(AG68:BJ68)/SUM(B68:AE68))</f>
        <v>4.4824933608521089</v>
      </c>
      <c r="BL68">
        <f>_xlfn.FLOOR.MATH((AF68-BK68)/5)</f>
        <v>3</v>
      </c>
    </row>
    <row r="69" spans="1:64">
      <c r="A69" t="s">
        <v>342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9</v>
      </c>
      <c r="Q69">
        <v>4</v>
      </c>
      <c r="R69">
        <v>3</v>
      </c>
      <c r="S69">
        <v>1</v>
      </c>
      <c r="T69">
        <v>2</v>
      </c>
      <c r="U69">
        <v>4</v>
      </c>
      <c r="V69">
        <v>7</v>
      </c>
      <c r="W69">
        <v>4</v>
      </c>
      <c r="X69">
        <v>0</v>
      </c>
      <c r="Y69">
        <v>1</v>
      </c>
      <c r="Z69">
        <v>1</v>
      </c>
      <c r="AA69">
        <v>1</v>
      </c>
      <c r="AB69">
        <v>0</v>
      </c>
      <c r="AC69">
        <v>0</v>
      </c>
      <c r="AD69">
        <v>0</v>
      </c>
      <c r="AE69">
        <v>0</v>
      </c>
      <c r="AF69">
        <f>SUMPRODUCT($B$1:$AE$1,B69:AE69)/SUM(B69:AE69)</f>
        <v>18.810810810810811</v>
      </c>
      <c r="AG69">
        <f>B69*(B$1-$AF69)^2</f>
        <v>0</v>
      </c>
      <c r="AH69">
        <f>C69*(C$1-$AF69)^2</f>
        <v>0</v>
      </c>
      <c r="AI69">
        <f>D69*(D$1-$AF69)^2</f>
        <v>0</v>
      </c>
      <c r="AJ69">
        <f>E69*(E$1-$AF69)^2</f>
        <v>0</v>
      </c>
      <c r="AK69">
        <f>F69*(F$1-$AF69)^2</f>
        <v>0</v>
      </c>
      <c r="AL69">
        <f>G69*(G$1-$AF69)^2</f>
        <v>0</v>
      </c>
      <c r="AM69">
        <f>H69*(H$1-$AF69)^2</f>
        <v>0</v>
      </c>
      <c r="AN69">
        <f>I69*(I$1-$AF69)^2</f>
        <v>0</v>
      </c>
      <c r="AO69">
        <f>J69*(J$1-$AF69)^2</f>
        <v>0</v>
      </c>
      <c r="AP69">
        <f>K69*(K$1-$AF69)^2</f>
        <v>0</v>
      </c>
      <c r="AQ69">
        <f>L69*(L$1-$AF69)^2</f>
        <v>0</v>
      </c>
      <c r="AR69">
        <f>M69*(M$1-$AF69)^2</f>
        <v>0</v>
      </c>
      <c r="AS69">
        <f>N69*(N$1-$AF69)^2</f>
        <v>0</v>
      </c>
      <c r="AT69">
        <f>O69*(O$1-$AF69)^2</f>
        <v>0</v>
      </c>
      <c r="AU69">
        <f>P69*(P$1-$AF69)^2</f>
        <v>130.70051132213291</v>
      </c>
      <c r="AV69">
        <f>Q69*(Q$1-$AF69)^2</f>
        <v>31.602629656683703</v>
      </c>
      <c r="AW69">
        <f>R69*(R$1-$AF69)^2</f>
        <v>9.8371073776479161</v>
      </c>
      <c r="AX69">
        <f>S69*(S$1-$AF69)^2</f>
        <v>0.65741417092768395</v>
      </c>
      <c r="AY69">
        <f>T69*(T$1-$AF69)^2</f>
        <v>7.1585098612125864E-2</v>
      </c>
      <c r="AZ69">
        <f>U69*(U$1-$AF69)^2</f>
        <v>5.6566837107377674</v>
      </c>
      <c r="BA69">
        <f>V69*(V$1-$AF69)^2</f>
        <v>33.547845142439741</v>
      </c>
      <c r="BB69">
        <f>W69*(W$1-$AF69)^2</f>
        <v>40.683710737764798</v>
      </c>
      <c r="BC69">
        <f>X69*(X$1-$AF69)^2</f>
        <v>0</v>
      </c>
      <c r="BD69">
        <f>Y69*(Y$1-$AF69)^2</f>
        <v>26.927684441197957</v>
      </c>
      <c r="BE69">
        <f>Z69*(Z$1-$AF69)^2</f>
        <v>38.30606281957634</v>
      </c>
      <c r="BF69">
        <f>AA69*(AA$1-$AF69)^2</f>
        <v>51.684441197954719</v>
      </c>
      <c r="BG69">
        <f>AB69*(AB$1-$AF69)^2</f>
        <v>0</v>
      </c>
      <c r="BH69">
        <f>AC69*(AC$1-$AF69)^2</f>
        <v>0</v>
      </c>
      <c r="BI69">
        <f>AD69*(AD$1-$AF69)^2</f>
        <v>0</v>
      </c>
      <c r="BJ69">
        <f>AE69*(AE$1-$AF69)^2</f>
        <v>0</v>
      </c>
      <c r="BK69">
        <f>SQRT(SUM(AG69:BJ69)/SUM(B69:AE69))</f>
        <v>3.1608914055565029</v>
      </c>
      <c r="BL69">
        <f>_xlfn.FLOOR.MATH((AF69-BK69)/5)</f>
        <v>3</v>
      </c>
    </row>
    <row r="70" spans="1:64">
      <c r="A70" t="s">
        <v>343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1</v>
      </c>
      <c r="R70">
        <v>1</v>
      </c>
      <c r="S70">
        <v>14</v>
      </c>
      <c r="T70">
        <v>16</v>
      </c>
      <c r="U70">
        <v>6</v>
      </c>
      <c r="V70">
        <v>18</v>
      </c>
      <c r="W70">
        <v>9</v>
      </c>
      <c r="X70">
        <v>13</v>
      </c>
      <c r="Y70">
        <v>4</v>
      </c>
      <c r="Z70">
        <v>5</v>
      </c>
      <c r="AA70">
        <v>3</v>
      </c>
      <c r="AB70">
        <v>0</v>
      </c>
      <c r="AC70">
        <v>0</v>
      </c>
      <c r="AD70">
        <v>1</v>
      </c>
      <c r="AE70">
        <v>1</v>
      </c>
      <c r="AF70">
        <f>SUMPRODUCT($B$1:$AE$1,B70:AE70)/SUM(B70:AE70)</f>
        <v>21</v>
      </c>
      <c r="AG70">
        <f>B70*(B$1-$AF70)^2</f>
        <v>0</v>
      </c>
      <c r="AH70">
        <f>C70*(C$1-$AF70)^2</f>
        <v>0</v>
      </c>
      <c r="AI70">
        <f>D70*(D$1-$AF70)^2</f>
        <v>0</v>
      </c>
      <c r="AJ70">
        <f>E70*(E$1-$AF70)^2</f>
        <v>0</v>
      </c>
      <c r="AK70">
        <f>F70*(F$1-$AF70)^2</f>
        <v>0</v>
      </c>
      <c r="AL70">
        <f>G70*(G$1-$AF70)^2</f>
        <v>0</v>
      </c>
      <c r="AM70">
        <f>H70*(H$1-$AF70)^2</f>
        <v>0</v>
      </c>
      <c r="AN70">
        <f>I70*(I$1-$AF70)^2</f>
        <v>0</v>
      </c>
      <c r="AO70">
        <f>J70*(J$1-$AF70)^2</f>
        <v>0</v>
      </c>
      <c r="AP70">
        <f>K70*(K$1-$AF70)^2</f>
        <v>0</v>
      </c>
      <c r="AQ70">
        <f>L70*(L$1-$AF70)^2</f>
        <v>100</v>
      </c>
      <c r="AR70">
        <f>M70*(M$1-$AF70)^2</f>
        <v>0</v>
      </c>
      <c r="AS70">
        <f>N70*(N$1-$AF70)^2</f>
        <v>0</v>
      </c>
      <c r="AT70">
        <f>O70*(O$1-$AF70)^2</f>
        <v>0</v>
      </c>
      <c r="AU70">
        <f>P70*(P$1-$AF70)^2</f>
        <v>0</v>
      </c>
      <c r="AV70">
        <f>Q70*(Q$1-$AF70)^2</f>
        <v>25</v>
      </c>
      <c r="AW70">
        <f>R70*(R$1-$AF70)^2</f>
        <v>16</v>
      </c>
      <c r="AX70">
        <f>S70*(S$1-$AF70)^2</f>
        <v>126</v>
      </c>
      <c r="AY70">
        <f>T70*(T$1-$AF70)^2</f>
        <v>64</v>
      </c>
      <c r="AZ70">
        <f>U70*(U$1-$AF70)^2</f>
        <v>6</v>
      </c>
      <c r="BA70">
        <f>V70*(V$1-$AF70)^2</f>
        <v>0</v>
      </c>
      <c r="BB70">
        <f>W70*(W$1-$AF70)^2</f>
        <v>9</v>
      </c>
      <c r="BC70">
        <f>X70*(X$1-$AF70)^2</f>
        <v>52</v>
      </c>
      <c r="BD70">
        <f>Y70*(Y$1-$AF70)^2</f>
        <v>36</v>
      </c>
      <c r="BE70">
        <f>Z70*(Z$1-$AF70)^2</f>
        <v>80</v>
      </c>
      <c r="BF70">
        <f>AA70*(AA$1-$AF70)^2</f>
        <v>75</v>
      </c>
      <c r="BG70">
        <f>AB70*(AB$1-$AF70)^2</f>
        <v>0</v>
      </c>
      <c r="BH70">
        <f>AC70*(AC$1-$AF70)^2</f>
        <v>0</v>
      </c>
      <c r="BI70">
        <f>AD70*(AD$1-$AF70)^2</f>
        <v>64</v>
      </c>
      <c r="BJ70">
        <f>AE70*(AE$1-$AF70)^2</f>
        <v>81</v>
      </c>
      <c r="BK70">
        <f>SQRT(SUM(AG70:BJ70)/SUM(B70:AE70))</f>
        <v>2.8093545732569196</v>
      </c>
      <c r="BL70">
        <f>_xlfn.FLOOR.MATH((AF70-BK70)/5)</f>
        <v>3</v>
      </c>
    </row>
    <row r="71" spans="1:64">
      <c r="A71" t="s">
        <v>344</v>
      </c>
      <c r="B71">
        <v>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2</v>
      </c>
      <c r="M71">
        <v>4</v>
      </c>
      <c r="N71">
        <v>1</v>
      </c>
      <c r="O71">
        <v>1</v>
      </c>
      <c r="P71">
        <v>2</v>
      </c>
      <c r="Q71">
        <v>7</v>
      </c>
      <c r="R71">
        <v>4</v>
      </c>
      <c r="S71">
        <v>5</v>
      </c>
      <c r="T71">
        <v>7</v>
      </c>
      <c r="U71">
        <v>2</v>
      </c>
      <c r="V71">
        <v>5</v>
      </c>
      <c r="W71">
        <v>6</v>
      </c>
      <c r="X71">
        <v>2</v>
      </c>
      <c r="Y71">
        <v>2</v>
      </c>
      <c r="Z71">
        <v>1</v>
      </c>
      <c r="AA71">
        <v>3</v>
      </c>
      <c r="AB71">
        <v>0</v>
      </c>
      <c r="AC71">
        <v>0</v>
      </c>
      <c r="AD71">
        <v>2</v>
      </c>
      <c r="AE71">
        <v>0</v>
      </c>
      <c r="AF71">
        <f>SUMPRODUCT($B$1:$AE$1,B71:AE71)/SUM(B71:AE71)</f>
        <v>18.719298245614034</v>
      </c>
      <c r="AG71">
        <f>B71*(B$1-$AF71)^2</f>
        <v>0</v>
      </c>
      <c r="AH71">
        <f>C71*(C$1-$AF71)^2</f>
        <v>0</v>
      </c>
      <c r="AI71">
        <f>D71*(D$1-$AF71)^2</f>
        <v>0</v>
      </c>
      <c r="AJ71">
        <f>E71*(E$1-$AF71)^2</f>
        <v>0</v>
      </c>
      <c r="AK71">
        <f>F71*(F$1-$AF71)^2</f>
        <v>188.21914435210832</v>
      </c>
      <c r="AL71">
        <f>G71*(G$1-$AF71)^2</f>
        <v>0</v>
      </c>
      <c r="AM71">
        <f>H71*(H$1-$AF71)^2</f>
        <v>0</v>
      </c>
      <c r="AN71">
        <f>I71*(I$1-$AF71)^2</f>
        <v>0</v>
      </c>
      <c r="AO71">
        <f>J71*(J$1-$AF71)^2</f>
        <v>0</v>
      </c>
      <c r="AP71">
        <f>K71*(K$1-$AF71)^2</f>
        <v>0</v>
      </c>
      <c r="AQ71">
        <f>L71*(L$1-$AF71)^2</f>
        <v>119.17513080947981</v>
      </c>
      <c r="AR71">
        <f>M71*(M$1-$AF71)^2</f>
        <v>180.59587565404735</v>
      </c>
      <c r="AS71">
        <f>N71*(N$1-$AF71)^2</f>
        <v>32.710372422283768</v>
      </c>
      <c r="AT71">
        <f>O71*(O$1-$AF71)^2</f>
        <v>22.2717759310557</v>
      </c>
      <c r="AU71">
        <f>P71*(P$1-$AF71)^2</f>
        <v>27.666358879655267</v>
      </c>
      <c r="AV71">
        <f>Q71*(Q$1-$AF71)^2</f>
        <v>51.762080640196949</v>
      </c>
      <c r="AW71">
        <f>R71*(R$1-$AF71)^2</f>
        <v>11.823945829485984</v>
      </c>
      <c r="AX71">
        <f>S71*(S$1-$AF71)^2</f>
        <v>2.5869498307171375</v>
      </c>
      <c r="AY71">
        <f>T71*(T$1-$AF71)^2</f>
        <v>0.55155432440751351</v>
      </c>
      <c r="AZ71">
        <f>U71*(U$1-$AF71)^2</f>
        <v>3.2803939673745814</v>
      </c>
      <c r="BA71">
        <f>V71*(V$1-$AF71)^2</f>
        <v>26.008002462296108</v>
      </c>
      <c r="BB71">
        <f>W71*(W$1-$AF71)^2</f>
        <v>64.578024007386929</v>
      </c>
      <c r="BC71">
        <f>X71*(X$1-$AF71)^2</f>
        <v>36.648815020006168</v>
      </c>
      <c r="BD71">
        <f>Y71*(Y$1-$AF71)^2</f>
        <v>55.771622037550031</v>
      </c>
      <c r="BE71">
        <f>Z71*(Z$1-$AF71)^2</f>
        <v>39.447214527546947</v>
      </c>
      <c r="BF71">
        <f>AA71*(AA$1-$AF71)^2</f>
        <v>159.02585410895665</v>
      </c>
      <c r="BG71">
        <f>AB71*(AB$1-$AF71)^2</f>
        <v>0</v>
      </c>
      <c r="BH71">
        <f>AC71*(AC$1-$AF71)^2</f>
        <v>0</v>
      </c>
      <c r="BI71">
        <f>AD71*(AD$1-$AF71)^2</f>
        <v>211.38565712526935</v>
      </c>
      <c r="BJ71">
        <f>AE71*(AE$1-$AF71)^2</f>
        <v>0</v>
      </c>
      <c r="BK71">
        <f>SQRT(SUM(AG71:BJ71)/SUM(B71:AE71))</f>
        <v>4.6519355939972646</v>
      </c>
      <c r="BL71">
        <f>_xlfn.FLOOR.MATH((AF71-BK71)/5)</f>
        <v>2</v>
      </c>
    </row>
    <row r="72" spans="1:64">
      <c r="A72" t="s">
        <v>345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  <c r="J72">
        <v>1</v>
      </c>
      <c r="K72">
        <v>3</v>
      </c>
      <c r="L72">
        <v>9</v>
      </c>
      <c r="M72">
        <v>7</v>
      </c>
      <c r="N72">
        <v>7</v>
      </c>
      <c r="O72">
        <v>18</v>
      </c>
      <c r="P72">
        <v>30</v>
      </c>
      <c r="Q72">
        <v>26</v>
      </c>
      <c r="R72">
        <v>24</v>
      </c>
      <c r="S72">
        <v>25</v>
      </c>
      <c r="T72">
        <v>16</v>
      </c>
      <c r="U72">
        <v>16</v>
      </c>
      <c r="V72">
        <v>20</v>
      </c>
      <c r="W72">
        <v>21</v>
      </c>
      <c r="X72">
        <v>11</v>
      </c>
      <c r="Y72">
        <v>8</v>
      </c>
      <c r="Z72">
        <v>7</v>
      </c>
      <c r="AA72">
        <v>1</v>
      </c>
      <c r="AB72">
        <v>3</v>
      </c>
      <c r="AC72">
        <v>2</v>
      </c>
      <c r="AD72">
        <v>2</v>
      </c>
      <c r="AE72">
        <v>2</v>
      </c>
      <c r="AF72">
        <f>SUMPRODUCT($B$1:$AE$1,B72:AE72)/SUM(B72:AE72)</f>
        <v>18.053639846743295</v>
      </c>
      <c r="AG72">
        <f>B72*(B$1-$AF72)^2</f>
        <v>0</v>
      </c>
      <c r="AH72">
        <f>C72*(C$1-$AF72)^2</f>
        <v>0</v>
      </c>
      <c r="AI72">
        <f>D72*(D$1-$AF72)^2</f>
        <v>0</v>
      </c>
      <c r="AJ72">
        <f>E72*(E$1-$AF72)^2</f>
        <v>0</v>
      </c>
      <c r="AK72">
        <f>F72*(F$1-$AF72)^2</f>
        <v>0</v>
      </c>
      <c r="AL72">
        <f>G72*(G$1-$AF72)^2</f>
        <v>0</v>
      </c>
      <c r="AM72">
        <f>H72*(H$1-$AF72)^2</f>
        <v>0</v>
      </c>
      <c r="AN72">
        <f>I72*(I$1-$AF72)^2</f>
        <v>202.15134833604907</v>
      </c>
      <c r="AO72">
        <f>J72*(J$1-$AF72)^2</f>
        <v>81.968394474537945</v>
      </c>
      <c r="AP72">
        <f>K72*(K$1-$AF72)^2</f>
        <v>194.58334434315407</v>
      </c>
      <c r="AQ72">
        <f>L72*(L$1-$AF72)^2</f>
        <v>447.7845157880829</v>
      </c>
      <c r="AR72">
        <f>M72*(M$1-$AF72)^2</f>
        <v>256.52588775854724</v>
      </c>
      <c r="AS72">
        <f>N72*(N$1-$AF72)^2</f>
        <v>178.77492990414112</v>
      </c>
      <c r="AT72">
        <f>O72*(O$1-$AF72)^2</f>
        <v>295.77592812788998</v>
      </c>
      <c r="AU72">
        <f>P72*(P$1-$AF72)^2</f>
        <v>279.74148940855235</v>
      </c>
      <c r="AV72">
        <f>Q72*(Q$1-$AF72)^2</f>
        <v>109.65335212342738</v>
      </c>
      <c r="AW72">
        <f>R72*(R$1-$AF72)^2</f>
        <v>26.643766239485601</v>
      </c>
      <c r="AX72">
        <f>S72*(S$1-$AF72)^2</f>
        <v>7.1930828966103269E-2</v>
      </c>
      <c r="AY72">
        <f>T72*(T$1-$AF72)^2</f>
        <v>14.329560634752879</v>
      </c>
      <c r="AZ72">
        <f>U72*(U$1-$AF72)^2</f>
        <v>60.613085538967454</v>
      </c>
      <c r="BA72">
        <f>V72*(V$1-$AF72)^2</f>
        <v>173.62076305397753</v>
      </c>
      <c r="BB72">
        <f>W72*(W$1-$AF72)^2</f>
        <v>327.04892764345806</v>
      </c>
      <c r="BC72">
        <f>X72*(X$1-$AF72)^2</f>
        <v>269.13126642298266</v>
      </c>
      <c r="BD72">
        <f>Y72*(Y$1-$AF72)^2</f>
        <v>282.87359257791286</v>
      </c>
      <c r="BE72">
        <f>Z72*(Z$1-$AF72)^2</f>
        <v>337.76343565126763</v>
      </c>
      <c r="BF72">
        <f>AA72*(AA$1-$AF72)^2</f>
        <v>63.144639685265929</v>
      </c>
      <c r="BG72">
        <f>AB72*(AB$1-$AF72)^2</f>
        <v>240.11207997533802</v>
      </c>
      <c r="BH72">
        <f>AC72*(AC$1-$AF72)^2</f>
        <v>197.8601605965855</v>
      </c>
      <c r="BI72">
        <f>AD72*(AD$1-$AF72)^2</f>
        <v>239.64560120961232</v>
      </c>
      <c r="BJ72">
        <f>AE72*(AE$1-$AF72)^2</f>
        <v>285.43104182263914</v>
      </c>
      <c r="BK72">
        <f>SQRT(SUM(AG72:BJ72)/SUM(B72:AE72))</f>
        <v>4.1822691975056525</v>
      </c>
      <c r="BL72">
        <f>_xlfn.FLOOR.MATH((AF72-BK72)/5)</f>
        <v>2</v>
      </c>
    </row>
    <row r="73" spans="1:64">
      <c r="A73" t="s">
        <v>346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0</v>
      </c>
      <c r="O73">
        <v>1</v>
      </c>
      <c r="P73">
        <v>0</v>
      </c>
      <c r="Q73">
        <v>4</v>
      </c>
      <c r="R73">
        <v>5</v>
      </c>
      <c r="S73">
        <v>3</v>
      </c>
      <c r="T73">
        <v>2</v>
      </c>
      <c r="U73">
        <v>8</v>
      </c>
      <c r="V73">
        <v>3</v>
      </c>
      <c r="W73">
        <v>3</v>
      </c>
      <c r="X73">
        <v>0</v>
      </c>
      <c r="Y73">
        <v>2</v>
      </c>
      <c r="Z73">
        <v>0</v>
      </c>
      <c r="AA73">
        <v>1</v>
      </c>
      <c r="AB73">
        <v>0</v>
      </c>
      <c r="AC73">
        <v>0</v>
      </c>
      <c r="AD73">
        <v>0</v>
      </c>
      <c r="AE73">
        <v>0</v>
      </c>
      <c r="AF73">
        <f>SUMPRODUCT($B$1:$AE$1,B73:AE73)/SUM(B73:AE73)</f>
        <v>19.09090909090909</v>
      </c>
      <c r="AG73">
        <f>B73*(B$1-$AF73)^2</f>
        <v>0</v>
      </c>
      <c r="AH73">
        <f>C73*(C$1-$AF73)^2</f>
        <v>0</v>
      </c>
      <c r="AI73">
        <f>D73*(D$1-$AF73)^2</f>
        <v>0</v>
      </c>
      <c r="AJ73">
        <f>E73*(E$1-$AF73)^2</f>
        <v>0</v>
      </c>
      <c r="AK73">
        <f>F73*(F$1-$AF73)^2</f>
        <v>0</v>
      </c>
      <c r="AL73">
        <f>G73*(G$1-$AF73)^2</f>
        <v>0</v>
      </c>
      <c r="AM73">
        <f>H73*(H$1-$AF73)^2</f>
        <v>0</v>
      </c>
      <c r="AN73">
        <f>I73*(I$1-$AF73)^2</f>
        <v>0</v>
      </c>
      <c r="AO73">
        <f>J73*(J$1-$AF73)^2</f>
        <v>0</v>
      </c>
      <c r="AP73">
        <f>K73*(K$1-$AF73)^2</f>
        <v>0</v>
      </c>
      <c r="AQ73">
        <f>L73*(L$1-$AF73)^2</f>
        <v>0</v>
      </c>
      <c r="AR73">
        <f>M73*(M$1-$AF73)^2</f>
        <v>50.280991735537178</v>
      </c>
      <c r="AS73">
        <f>N73*(N$1-$AF73)^2</f>
        <v>0</v>
      </c>
      <c r="AT73">
        <f>O73*(O$1-$AF73)^2</f>
        <v>25.917355371900818</v>
      </c>
      <c r="AU73">
        <f>P73*(P$1-$AF73)^2</f>
        <v>0</v>
      </c>
      <c r="AV73">
        <f>Q73*(Q$1-$AF73)^2</f>
        <v>38.214876033057827</v>
      </c>
      <c r="AW73">
        <f>R73*(R$1-$AF73)^2</f>
        <v>21.859504132231386</v>
      </c>
      <c r="AX73">
        <f>S73*(S$1-$AF73)^2</f>
        <v>3.570247933884291</v>
      </c>
      <c r="AY73">
        <f>T73*(T$1-$AF73)^2</f>
        <v>1.6528925619834357E-2</v>
      </c>
      <c r="AZ73">
        <f>U73*(U$1-$AF73)^2</f>
        <v>6.6115702479338987</v>
      </c>
      <c r="BA73">
        <f>V73*(V$1-$AF73)^2</f>
        <v>10.933884297520672</v>
      </c>
      <c r="BB73">
        <f>W73*(W$1-$AF73)^2</f>
        <v>25.388429752066131</v>
      </c>
      <c r="BC73">
        <f>X73*(X$1-$AF73)^2</f>
        <v>0</v>
      </c>
      <c r="BD73">
        <f>Y73*(Y$1-$AF73)^2</f>
        <v>48.198347107438039</v>
      </c>
      <c r="BE73">
        <f>Z73*(Z$1-$AF73)^2</f>
        <v>0</v>
      </c>
      <c r="BF73">
        <f>AA73*(AA$1-$AF73)^2</f>
        <v>47.73553719008266</v>
      </c>
      <c r="BG73">
        <f>AB73*(AB$1-$AF73)^2</f>
        <v>0</v>
      </c>
      <c r="BH73">
        <f>AC73*(AC$1-$AF73)^2</f>
        <v>0</v>
      </c>
      <c r="BI73">
        <f>AD73*(AD$1-$AF73)^2</f>
        <v>0</v>
      </c>
      <c r="BJ73">
        <f>AE73*(AE$1-$AF73)^2</f>
        <v>0</v>
      </c>
      <c r="BK73">
        <f>SQRT(SUM(AG73:BJ73)/SUM(B73:AE73))</f>
        <v>2.9062486114810513</v>
      </c>
      <c r="BL73">
        <f>_xlfn.FLOOR.MATH((AF73-BK73)/5)</f>
        <v>3</v>
      </c>
    </row>
    <row r="74" spans="1:64">
      <c r="A74" t="s">
        <v>347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U74">
        <v>10</v>
      </c>
      <c r="V74">
        <v>17</v>
      </c>
      <c r="W74">
        <v>25</v>
      </c>
      <c r="X74">
        <v>13</v>
      </c>
      <c r="Y74">
        <v>15</v>
      </c>
      <c r="Z74">
        <v>15</v>
      </c>
      <c r="AA74">
        <v>9</v>
      </c>
      <c r="AB74">
        <v>6</v>
      </c>
      <c r="AC74">
        <v>5</v>
      </c>
      <c r="AD74">
        <v>0</v>
      </c>
      <c r="AE74">
        <v>0</v>
      </c>
      <c r="AF74">
        <f>SUMPRODUCT($B$1:$AE$1,B74:AE74)/SUM(B74:AE74)</f>
        <v>23.232758620689655</v>
      </c>
      <c r="AG74">
        <f>B74*(B$1-$AF74)^2</f>
        <v>0</v>
      </c>
      <c r="AH74">
        <f>C74*(C$1-$AF74)^2</f>
        <v>0</v>
      </c>
      <c r="AI74">
        <f>D74*(D$1-$AF74)^2</f>
        <v>0</v>
      </c>
      <c r="AJ74">
        <f>E74*(E$1-$AF74)^2</f>
        <v>0</v>
      </c>
      <c r="AK74">
        <f>F74*(F$1-$AF74)^2</f>
        <v>0</v>
      </c>
      <c r="AL74">
        <f>G74*(G$1-$AF74)^2</f>
        <v>0</v>
      </c>
      <c r="AM74">
        <f>H74*(H$1-$AF74)^2</f>
        <v>0</v>
      </c>
      <c r="AN74">
        <f>I74*(I$1-$AF74)^2</f>
        <v>0</v>
      </c>
      <c r="AO74">
        <f>J74*(J$1-$AF74)^2</f>
        <v>0</v>
      </c>
      <c r="AP74">
        <f>K74*(K$1-$AF74)^2</f>
        <v>0</v>
      </c>
      <c r="AQ74">
        <f>L74*(L$1-$AF74)^2</f>
        <v>0</v>
      </c>
      <c r="AR74">
        <f>M74*(M$1-$AF74)^2</f>
        <v>0</v>
      </c>
      <c r="AS74">
        <f>N74*(N$1-$AF74)^2</f>
        <v>0</v>
      </c>
      <c r="AT74">
        <f>O74*(O$1-$AF74)^2</f>
        <v>0</v>
      </c>
      <c r="AU74">
        <f>P74*(P$1-$AF74)^2</f>
        <v>0</v>
      </c>
      <c r="AV74">
        <f>Q74*(Q$1-$AF74)^2</f>
        <v>0</v>
      </c>
      <c r="AW74">
        <f>R74*(R$1-$AF74)^2</f>
        <v>0</v>
      </c>
      <c r="AX74">
        <f>S74*(S$1-$AF74)^2</f>
        <v>27.3817627824019</v>
      </c>
      <c r="AY74">
        <f>T74*(T$1-$AF74)^2</f>
        <v>0</v>
      </c>
      <c r="AZ74">
        <f>U74*(U$1-$AF74)^2</f>
        <v>104.50728299643279</v>
      </c>
      <c r="BA74">
        <f>V74*(V$1-$AF74)^2</f>
        <v>84.748587990487493</v>
      </c>
      <c r="BB74">
        <f>W74*(W$1-$AF74)^2</f>
        <v>37.992345422116507</v>
      </c>
      <c r="BC74">
        <f>X74*(X$1-$AF74)^2</f>
        <v>0.70429548156955779</v>
      </c>
      <c r="BD74">
        <f>Y74*(Y$1-$AF74)^2</f>
        <v>8.8298900118906154</v>
      </c>
      <c r="BE74">
        <f>Z74*(Z$1-$AF74)^2</f>
        <v>46.847131391200968</v>
      </c>
      <c r="BF74">
        <f>AA74*(AA$1-$AF74)^2</f>
        <v>68.9186236623068</v>
      </c>
      <c r="BG74">
        <f>AB74*(AB$1-$AF74)^2</f>
        <v>85.152645659928666</v>
      </c>
      <c r="BH74">
        <f>AC74*(AC$1-$AF74)^2</f>
        <v>113.63295184304403</v>
      </c>
      <c r="BI74">
        <f>AD74*(AD$1-$AF74)^2</f>
        <v>0</v>
      </c>
      <c r="BJ74">
        <f>AE74*(AE$1-$AF74)^2</f>
        <v>0</v>
      </c>
      <c r="BK74">
        <f>SQRT(SUM(AG74:BJ74)/SUM(B74:AE74))</f>
        <v>2.2335905785910075</v>
      </c>
      <c r="BL74">
        <f>_xlfn.FLOOR.MATH((AF74-BK74)/5)</f>
        <v>4</v>
      </c>
    </row>
    <row r="75" spans="1:64">
      <c r="A75" t="s">
        <v>348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5</v>
      </c>
      <c r="L75">
        <v>7</v>
      </c>
      <c r="M75">
        <v>5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f>SUMPRODUCT($B$1:$AE$1,B75:AE75)/SUM(B75:AE75)</f>
        <v>11</v>
      </c>
      <c r="AG75">
        <f>B75*(B$1-$AF75)^2</f>
        <v>0</v>
      </c>
      <c r="AH75">
        <f>C75*(C$1-$AF75)^2</f>
        <v>0</v>
      </c>
      <c r="AI75">
        <f>D75*(D$1-$AF75)^2</f>
        <v>0</v>
      </c>
      <c r="AJ75">
        <f>E75*(E$1-$AF75)^2</f>
        <v>0</v>
      </c>
      <c r="AK75">
        <f>F75*(F$1-$AF75)^2</f>
        <v>0</v>
      </c>
      <c r="AL75">
        <f>G75*(G$1-$AF75)^2</f>
        <v>0</v>
      </c>
      <c r="AM75">
        <f>H75*(H$1-$AF75)^2</f>
        <v>0</v>
      </c>
      <c r="AN75">
        <f>I75*(I$1-$AF75)^2</f>
        <v>0</v>
      </c>
      <c r="AO75">
        <f>J75*(J$1-$AF75)^2</f>
        <v>0</v>
      </c>
      <c r="AP75">
        <f>K75*(K$1-$AF75)^2</f>
        <v>5</v>
      </c>
      <c r="AQ75">
        <f>L75*(L$1-$AF75)^2</f>
        <v>0</v>
      </c>
      <c r="AR75">
        <f>M75*(M$1-$AF75)^2</f>
        <v>5</v>
      </c>
      <c r="AS75">
        <f>N75*(N$1-$AF75)^2</f>
        <v>0</v>
      </c>
      <c r="AT75">
        <f>O75*(O$1-$AF75)^2</f>
        <v>0</v>
      </c>
      <c r="AU75">
        <f>P75*(P$1-$AF75)^2</f>
        <v>0</v>
      </c>
      <c r="AV75">
        <f>Q75*(Q$1-$AF75)^2</f>
        <v>0</v>
      </c>
      <c r="AW75">
        <f>R75*(R$1-$AF75)^2</f>
        <v>0</v>
      </c>
      <c r="AX75">
        <f>S75*(S$1-$AF75)^2</f>
        <v>0</v>
      </c>
      <c r="AY75">
        <f>T75*(T$1-$AF75)^2</f>
        <v>0</v>
      </c>
      <c r="AZ75">
        <f>U75*(U$1-$AF75)^2</f>
        <v>0</v>
      </c>
      <c r="BA75">
        <f>V75*(V$1-$AF75)^2</f>
        <v>0</v>
      </c>
      <c r="BB75">
        <f>W75*(W$1-$AF75)^2</f>
        <v>0</v>
      </c>
      <c r="BC75">
        <f>X75*(X$1-$AF75)^2</f>
        <v>0</v>
      </c>
      <c r="BD75">
        <f>Y75*(Y$1-$AF75)^2</f>
        <v>0</v>
      </c>
      <c r="BE75">
        <f>Z75*(Z$1-$AF75)^2</f>
        <v>0</v>
      </c>
      <c r="BF75">
        <f>AA75*(AA$1-$AF75)^2</f>
        <v>0</v>
      </c>
      <c r="BG75">
        <f>AB75*(AB$1-$AF75)^2</f>
        <v>0</v>
      </c>
      <c r="BH75">
        <f>AC75*(AC$1-$AF75)^2</f>
        <v>0</v>
      </c>
      <c r="BI75">
        <f>AD75*(AD$1-$AF75)^2</f>
        <v>0</v>
      </c>
      <c r="BJ75">
        <f>AE75*(AE$1-$AF75)^2</f>
        <v>0</v>
      </c>
      <c r="BK75">
        <f>SQRT(SUM(AG75:BJ75)/SUM(B75:AE75))</f>
        <v>0.76696498884737041</v>
      </c>
      <c r="BL75">
        <f>_xlfn.FLOOR.MATH((AF75-BK75)/5)</f>
        <v>2</v>
      </c>
    </row>
    <row r="76" spans="1:64">
      <c r="A76" t="s">
        <v>349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2</v>
      </c>
      <c r="N76">
        <v>1</v>
      </c>
      <c r="O76">
        <v>1</v>
      </c>
      <c r="P76">
        <v>3</v>
      </c>
      <c r="Q76">
        <v>2</v>
      </c>
      <c r="R76">
        <v>18</v>
      </c>
      <c r="S76">
        <v>48</v>
      </c>
      <c r="T76">
        <v>53</v>
      </c>
      <c r="U76">
        <v>39</v>
      </c>
      <c r="V76">
        <v>52</v>
      </c>
      <c r="W76">
        <v>28</v>
      </c>
      <c r="X76">
        <v>20</v>
      </c>
      <c r="Y76">
        <v>13</v>
      </c>
      <c r="Z76">
        <v>17</v>
      </c>
      <c r="AA76">
        <v>6</v>
      </c>
      <c r="AB76">
        <v>1</v>
      </c>
      <c r="AC76">
        <v>4</v>
      </c>
      <c r="AD76">
        <v>2</v>
      </c>
      <c r="AE76">
        <v>1</v>
      </c>
      <c r="AF76">
        <f>SUMPRODUCT($B$1:$AE$1,B76:AE76)/SUM(B76:AE76)</f>
        <v>20.491961414790996</v>
      </c>
      <c r="AG76">
        <f>B76*(B$1-$AF76)^2</f>
        <v>0</v>
      </c>
      <c r="AH76">
        <f>C76*(C$1-$AF76)^2</f>
        <v>0</v>
      </c>
      <c r="AI76">
        <f>D76*(D$1-$AF76)^2</f>
        <v>0</v>
      </c>
      <c r="AJ76">
        <f>E76*(E$1-$AF76)^2</f>
        <v>0</v>
      </c>
      <c r="AK76">
        <f>F76*(F$1-$AF76)^2</f>
        <v>0</v>
      </c>
      <c r="AL76">
        <f>G76*(G$1-$AF76)^2</f>
        <v>0</v>
      </c>
      <c r="AM76">
        <f>H76*(H$1-$AF76)^2</f>
        <v>0</v>
      </c>
      <c r="AN76">
        <f>I76*(I$1-$AF76)^2</f>
        <v>0</v>
      </c>
      <c r="AO76">
        <f>J76*(J$1-$AF76)^2</f>
        <v>0</v>
      </c>
      <c r="AP76">
        <f>K76*(K$1-$AF76)^2</f>
        <v>0</v>
      </c>
      <c r="AQ76">
        <f>L76*(L$1-$AF76)^2</f>
        <v>0</v>
      </c>
      <c r="AR76">
        <f>M76*(M$1-$AF76)^2</f>
        <v>144.22681734059819</v>
      </c>
      <c r="AS76">
        <f>N76*(N$1-$AF76)^2</f>
        <v>56.129485840717102</v>
      </c>
      <c r="AT76">
        <f>O76*(O$1-$AF76)^2</f>
        <v>42.14556301113511</v>
      </c>
      <c r="AU76">
        <f>P76*(P$1-$AF76)^2</f>
        <v>90.48492054465936</v>
      </c>
      <c r="AV76">
        <f>Q76*(Q$1-$AF76)^2</f>
        <v>40.355434703942251</v>
      </c>
      <c r="AW76">
        <f>R76*(R$1-$AF76)^2</f>
        <v>219.48830140300444</v>
      </c>
      <c r="AX76">
        <f>S76*(S$1-$AF76)^2</f>
        <v>298.07384125474289</v>
      </c>
      <c r="AY76">
        <f>T76*(T$1-$AF76)^2</f>
        <v>117.97528975093299</v>
      </c>
      <c r="AZ76">
        <f>U76*(U$1-$AF76)^2</f>
        <v>9.4390153120831819</v>
      </c>
      <c r="BA76">
        <f>V76*(V$1-$AF76)^2</f>
        <v>13.421366611180648</v>
      </c>
      <c r="BB76">
        <f>W76*(W$1-$AF76)^2</f>
        <v>63.677050485416878</v>
      </c>
      <c r="BC76">
        <f>X76*(X$1-$AF76)^2</f>
        <v>125.80515089794363</v>
      </c>
      <c r="BD76">
        <f>Y76*(Y$1-$AF76)^2</f>
        <v>159.98235129909747</v>
      </c>
      <c r="BE76">
        <f>Z76*(Z$1-$AF76)^2</f>
        <v>345.48100205746431</v>
      </c>
      <c r="BF76">
        <f>AA76*(AA$1-$AF76)^2</f>
        <v>182.03093433690722</v>
      </c>
      <c r="BG76">
        <f>AB76*(AB$1-$AF76)^2</f>
        <v>42.354566226569212</v>
      </c>
      <c r="BH76">
        <f>AC76*(AC$1-$AF76)^2</f>
        <v>225.48257358794888</v>
      </c>
      <c r="BI76">
        <f>AD76*(AD$1-$AF76)^2</f>
        <v>144.77344113481047</v>
      </c>
      <c r="BJ76">
        <f>AE76*(AE$1-$AF76)^2</f>
        <v>90.402797737823235</v>
      </c>
      <c r="BK76">
        <f>SQRT(SUM(AG76:BJ76)/SUM(B76:AE76))</f>
        <v>2.7847367078905751</v>
      </c>
      <c r="BL76">
        <f>_xlfn.FLOOR.MATH((AF76-BK76)/5)</f>
        <v>3</v>
      </c>
    </row>
    <row r="77" spans="1:64">
      <c r="A77" t="s">
        <v>350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2</v>
      </c>
      <c r="K77">
        <v>8</v>
      </c>
      <c r="L77">
        <v>9</v>
      </c>
      <c r="M77">
        <v>33</v>
      </c>
      <c r="N77">
        <v>24</v>
      </c>
      <c r="O77">
        <v>15</v>
      </c>
      <c r="P77">
        <v>10</v>
      </c>
      <c r="Q77">
        <v>10</v>
      </c>
      <c r="R77">
        <v>8</v>
      </c>
      <c r="S77">
        <v>10</v>
      </c>
      <c r="T77">
        <v>7</v>
      </c>
      <c r="U77">
        <v>6</v>
      </c>
      <c r="V77">
        <v>4</v>
      </c>
      <c r="W77">
        <v>4</v>
      </c>
      <c r="X77">
        <v>3</v>
      </c>
      <c r="Y77">
        <v>2</v>
      </c>
      <c r="Z77">
        <v>3</v>
      </c>
      <c r="AA77">
        <v>2</v>
      </c>
      <c r="AB77">
        <v>0</v>
      </c>
      <c r="AC77">
        <v>0</v>
      </c>
      <c r="AD77">
        <v>0</v>
      </c>
      <c r="AE77">
        <v>0</v>
      </c>
      <c r="AF77">
        <f>SUMPRODUCT($B$1:$AE$1,B77:AE77)/SUM(B77:AE77)</f>
        <v>15.0625</v>
      </c>
      <c r="AG77">
        <f>B77*(B$1-$AF77)^2</f>
        <v>0</v>
      </c>
      <c r="AH77">
        <f>C77*(C$1-$AF77)^2</f>
        <v>0</v>
      </c>
      <c r="AI77">
        <f>D77*(D$1-$AF77)^2</f>
        <v>0</v>
      </c>
      <c r="AJ77">
        <f>E77*(E$1-$AF77)^2</f>
        <v>0</v>
      </c>
      <c r="AK77">
        <f>F77*(F$1-$AF77)^2</f>
        <v>0</v>
      </c>
      <c r="AL77">
        <f>G77*(G$1-$AF77)^2</f>
        <v>0</v>
      </c>
      <c r="AM77">
        <f>H77*(H$1-$AF77)^2</f>
        <v>0</v>
      </c>
      <c r="AN77">
        <f>I77*(I$1-$AF77)^2</f>
        <v>0</v>
      </c>
      <c r="AO77">
        <f>J77*(J$1-$AF77)^2</f>
        <v>73.5078125</v>
      </c>
      <c r="AP77">
        <f>K77*(K$1-$AF77)^2</f>
        <v>205.03125</v>
      </c>
      <c r="AQ77">
        <f>L77*(L$1-$AF77)^2</f>
        <v>148.53515625</v>
      </c>
      <c r="AR77">
        <f>M77*(M$1-$AF77)^2</f>
        <v>309.50390625</v>
      </c>
      <c r="AS77">
        <f>N77*(N$1-$AF77)^2</f>
        <v>102.09375</v>
      </c>
      <c r="AT77">
        <f>O77*(O$1-$AF77)^2</f>
        <v>16.93359375</v>
      </c>
      <c r="AU77">
        <f>P77*(P$1-$AF77)^2</f>
        <v>3.90625E-2</v>
      </c>
      <c r="AV77">
        <f>Q77*(Q$1-$AF77)^2</f>
        <v>8.7890625</v>
      </c>
      <c r="AW77">
        <f>R77*(R$1-$AF77)^2</f>
        <v>30.03125</v>
      </c>
      <c r="AX77">
        <f>S77*(S$1-$AF77)^2</f>
        <v>86.2890625</v>
      </c>
      <c r="AY77">
        <f>T77*(T$1-$AF77)^2</f>
        <v>108.52734375</v>
      </c>
      <c r="AZ77">
        <f>U77*(U$1-$AF77)^2</f>
        <v>146.2734375</v>
      </c>
      <c r="BA77">
        <f>V77*(V$1-$AF77)^2</f>
        <v>141.015625</v>
      </c>
      <c r="BB77">
        <f>W77*(W$1-$AF77)^2</f>
        <v>192.515625</v>
      </c>
      <c r="BC77">
        <f>X77*(X$1-$AF77)^2</f>
        <v>189.01171875</v>
      </c>
      <c r="BD77">
        <f>Y77*(Y$1-$AF77)^2</f>
        <v>159.7578125</v>
      </c>
      <c r="BE77">
        <f>Z77*(Z$1-$AF77)^2</f>
        <v>296.26171875</v>
      </c>
      <c r="BF77">
        <f>AA77*(AA$1-$AF77)^2</f>
        <v>239.2578125</v>
      </c>
      <c r="BG77">
        <f>AB77*(AB$1-$AF77)^2</f>
        <v>0</v>
      </c>
      <c r="BH77">
        <f>AC77*(AC$1-$AF77)^2</f>
        <v>0</v>
      </c>
      <c r="BI77">
        <f>AD77*(AD$1-$AF77)^2</f>
        <v>0</v>
      </c>
      <c r="BJ77">
        <f>AE77*(AE$1-$AF77)^2</f>
        <v>0</v>
      </c>
      <c r="BK77">
        <f>SQRT(SUM(AG77:BJ77)/SUM(B77:AE77))</f>
        <v>3.9158132935572914</v>
      </c>
      <c r="BL77">
        <f>_xlfn.FLOOR.MATH((AF77-BK77)/5)</f>
        <v>2</v>
      </c>
    </row>
    <row r="78" spans="1:64">
      <c r="A78" t="s">
        <v>351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2</v>
      </c>
      <c r="O78">
        <v>2</v>
      </c>
      <c r="P78">
        <v>9</v>
      </c>
      <c r="Q78">
        <v>8</v>
      </c>
      <c r="R78">
        <v>11</v>
      </c>
      <c r="S78">
        <v>6</v>
      </c>
      <c r="T78">
        <v>4</v>
      </c>
      <c r="U78">
        <v>6</v>
      </c>
      <c r="V78">
        <v>3</v>
      </c>
      <c r="W78">
        <v>1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0</v>
      </c>
      <c r="AE78">
        <v>0</v>
      </c>
      <c r="AF78">
        <f>SUMPRODUCT($B$1:$AE$1,B78:AE78)/SUM(B78:AE78)</f>
        <v>17.109090909090909</v>
      </c>
      <c r="AG78">
        <f>B78*(B$1-$AF78)^2</f>
        <v>0</v>
      </c>
      <c r="AH78">
        <f>C78*(C$1-$AF78)^2</f>
        <v>0</v>
      </c>
      <c r="AI78">
        <f>D78*(D$1-$AF78)^2</f>
        <v>0</v>
      </c>
      <c r="AJ78">
        <f>E78*(E$1-$AF78)^2</f>
        <v>0</v>
      </c>
      <c r="AK78">
        <f>F78*(F$1-$AF78)^2</f>
        <v>0</v>
      </c>
      <c r="AL78">
        <f>G78*(G$1-$AF78)^2</f>
        <v>0</v>
      </c>
      <c r="AM78">
        <f>H78*(H$1-$AF78)^2</f>
        <v>0</v>
      </c>
      <c r="AN78">
        <f>I78*(I$1-$AF78)^2</f>
        <v>0</v>
      </c>
      <c r="AO78">
        <f>J78*(J$1-$AF78)^2</f>
        <v>0</v>
      </c>
      <c r="AP78">
        <f>K78*(K$1-$AF78)^2</f>
        <v>0</v>
      </c>
      <c r="AQ78">
        <f>L78*(L$1-$AF78)^2</f>
        <v>37.320991735537191</v>
      </c>
      <c r="AR78">
        <f>M78*(M$1-$AF78)^2</f>
        <v>26.102809917355376</v>
      </c>
      <c r="AS78">
        <f>N78*(N$1-$AF78)^2</f>
        <v>33.769256198347115</v>
      </c>
      <c r="AT78">
        <f>O78*(O$1-$AF78)^2</f>
        <v>19.332892561983474</v>
      </c>
      <c r="AU78">
        <f>P78*(P$1-$AF78)^2</f>
        <v>40.034380165289264</v>
      </c>
      <c r="AV78">
        <f>Q78*(Q$1-$AF78)^2</f>
        <v>9.8406611570247975</v>
      </c>
      <c r="AW78">
        <f>R78*(R$1-$AF78)^2</f>
        <v>0.13090909090909153</v>
      </c>
      <c r="AX78">
        <f>S78*(S$1-$AF78)^2</f>
        <v>4.7623140495867746</v>
      </c>
      <c r="AY78">
        <f>T78*(T$1-$AF78)^2</f>
        <v>14.302148760330574</v>
      </c>
      <c r="AZ78">
        <f>U78*(U$1-$AF78)^2</f>
        <v>50.144132231404953</v>
      </c>
      <c r="BA78">
        <f>V78*(V$1-$AF78)^2</f>
        <v>45.41752066115702</v>
      </c>
      <c r="BB78">
        <f>W78*(W$1-$AF78)^2</f>
        <v>23.920991735537189</v>
      </c>
      <c r="BC78">
        <f>X78*(X$1-$AF78)^2</f>
        <v>0</v>
      </c>
      <c r="BD78">
        <f>Y78*(Y$1-$AF78)^2</f>
        <v>0</v>
      </c>
      <c r="BE78">
        <f>Z78*(Z$1-$AF78)^2</f>
        <v>62.26644628099173</v>
      </c>
      <c r="BF78">
        <f>AA78*(AA$1-$AF78)^2</f>
        <v>0</v>
      </c>
      <c r="BG78">
        <f>AB78*(AB$1-$AF78)^2</f>
        <v>0</v>
      </c>
      <c r="BH78">
        <f>AC78*(AC$1-$AF78)^2</f>
        <v>0</v>
      </c>
      <c r="BI78">
        <f>AD78*(AD$1-$AF78)^2</f>
        <v>0</v>
      </c>
      <c r="BJ78">
        <f>AE78*(AE$1-$AF78)^2</f>
        <v>0</v>
      </c>
      <c r="BK78">
        <f>SQRT(SUM(AG78:BJ78)/SUM(B78:AE78))</f>
        <v>2.5843777325427508</v>
      </c>
      <c r="BL78">
        <f>_xlfn.FLOOR.MATH((AF78-BK78)/5)</f>
        <v>2</v>
      </c>
    </row>
    <row r="79" spans="1:64">
      <c r="A79" t="s">
        <v>352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0</v>
      </c>
      <c r="R79">
        <v>1</v>
      </c>
      <c r="S79">
        <v>0</v>
      </c>
      <c r="T79">
        <v>0</v>
      </c>
      <c r="U79">
        <v>4</v>
      </c>
      <c r="V79">
        <v>1</v>
      </c>
      <c r="W79">
        <v>1</v>
      </c>
      <c r="X79">
        <v>1</v>
      </c>
      <c r="Y79">
        <v>0</v>
      </c>
      <c r="Z79">
        <v>1</v>
      </c>
      <c r="AA79">
        <v>0</v>
      </c>
      <c r="AB79">
        <v>0</v>
      </c>
      <c r="AC79">
        <v>0</v>
      </c>
      <c r="AD79">
        <v>0</v>
      </c>
      <c r="AE79">
        <v>0</v>
      </c>
      <c r="AF79">
        <f>SUMPRODUCT($B$1:$AE$1,B79:AE79)/SUM(B79:AE79)</f>
        <v>20.100000000000001</v>
      </c>
      <c r="AG79">
        <f>B79*(B$1-$AF79)^2</f>
        <v>0</v>
      </c>
      <c r="AH79">
        <f>C79*(C$1-$AF79)^2</f>
        <v>0</v>
      </c>
      <c r="AI79">
        <f>D79*(D$1-$AF79)^2</f>
        <v>0</v>
      </c>
      <c r="AJ79">
        <f>E79*(E$1-$AF79)^2</f>
        <v>0</v>
      </c>
      <c r="AK79">
        <f>F79*(F$1-$AF79)^2</f>
        <v>0</v>
      </c>
      <c r="AL79">
        <f>G79*(G$1-$AF79)^2</f>
        <v>0</v>
      </c>
      <c r="AM79">
        <f>H79*(H$1-$AF79)^2</f>
        <v>0</v>
      </c>
      <c r="AN79">
        <f>I79*(I$1-$AF79)^2</f>
        <v>0</v>
      </c>
      <c r="AO79">
        <f>J79*(J$1-$AF79)^2</f>
        <v>0</v>
      </c>
      <c r="AP79">
        <f>K79*(K$1-$AF79)^2</f>
        <v>0</v>
      </c>
      <c r="AQ79">
        <f>L79*(L$1-$AF79)^2</f>
        <v>0</v>
      </c>
      <c r="AR79">
        <f>M79*(M$1-$AF79)^2</f>
        <v>0</v>
      </c>
      <c r="AS79">
        <f>N79*(N$1-$AF79)^2</f>
        <v>50.410000000000018</v>
      </c>
      <c r="AT79">
        <f>O79*(O$1-$AF79)^2</f>
        <v>0</v>
      </c>
      <c r="AU79">
        <f>P79*(P$1-$AF79)^2</f>
        <v>0</v>
      </c>
      <c r="AV79">
        <f>Q79*(Q$1-$AF79)^2</f>
        <v>0</v>
      </c>
      <c r="AW79">
        <f>R79*(R$1-$AF79)^2</f>
        <v>9.6100000000000083</v>
      </c>
      <c r="AX79">
        <f>S79*(S$1-$AF79)^2</f>
        <v>0</v>
      </c>
      <c r="AY79">
        <f>T79*(T$1-$AF79)^2</f>
        <v>0</v>
      </c>
      <c r="AZ79">
        <f>U79*(U$1-$AF79)^2</f>
        <v>4.0000000000001139E-2</v>
      </c>
      <c r="BA79">
        <f>V79*(V$1-$AF79)^2</f>
        <v>0.80999999999999739</v>
      </c>
      <c r="BB79">
        <f>W79*(W$1-$AF79)^2</f>
        <v>3.6099999999999945</v>
      </c>
      <c r="BC79">
        <f>X79*(X$1-$AF79)^2</f>
        <v>8.4099999999999913</v>
      </c>
      <c r="BD79">
        <f>Y79*(Y$1-$AF79)^2</f>
        <v>0</v>
      </c>
      <c r="BE79">
        <f>Z79*(Z$1-$AF79)^2</f>
        <v>24.009999999999987</v>
      </c>
      <c r="BF79">
        <f>AA79*(AA$1-$AF79)^2</f>
        <v>0</v>
      </c>
      <c r="BG79">
        <f>AB79*(AB$1-$AF79)^2</f>
        <v>0</v>
      </c>
      <c r="BH79">
        <f>AC79*(AC$1-$AF79)^2</f>
        <v>0</v>
      </c>
      <c r="BI79">
        <f>AD79*(AD$1-$AF79)^2</f>
        <v>0</v>
      </c>
      <c r="BJ79">
        <f>AE79*(AE$1-$AF79)^2</f>
        <v>0</v>
      </c>
      <c r="BK79">
        <f>SQRT(SUM(AG79:BJ79)/SUM(B79:AE79))</f>
        <v>3.1128764832546763</v>
      </c>
      <c r="BL79">
        <f>_xlfn.FLOOR.MATH((AF79-BK79)/5)</f>
        <v>3</v>
      </c>
    </row>
    <row r="80" spans="1:64">
      <c r="A80" t="s">
        <v>353</v>
      </c>
      <c r="B80">
        <v>0</v>
      </c>
      <c r="C80">
        <v>0</v>
      </c>
      <c r="D80">
        <v>3</v>
      </c>
      <c r="E80">
        <v>1</v>
      </c>
      <c r="F80">
        <v>5</v>
      </c>
      <c r="G80">
        <v>2</v>
      </c>
      <c r="H80">
        <v>6</v>
      </c>
      <c r="I80">
        <v>8</v>
      </c>
      <c r="J80">
        <v>5</v>
      </c>
      <c r="K80">
        <v>2</v>
      </c>
      <c r="L80">
        <v>5</v>
      </c>
      <c r="M80">
        <v>10</v>
      </c>
      <c r="N80">
        <v>21</v>
      </c>
      <c r="O80">
        <v>20</v>
      </c>
      <c r="P80">
        <v>18</v>
      </c>
      <c r="Q80">
        <v>23</v>
      </c>
      <c r="R80">
        <v>27</v>
      </c>
      <c r="S80">
        <v>34</v>
      </c>
      <c r="T80">
        <v>34</v>
      </c>
      <c r="U80">
        <v>26</v>
      </c>
      <c r="V80">
        <v>23</v>
      </c>
      <c r="W80">
        <v>14</v>
      </c>
      <c r="X80">
        <v>15</v>
      </c>
      <c r="Y80">
        <v>6</v>
      </c>
      <c r="Z80">
        <v>8</v>
      </c>
      <c r="AA80">
        <v>5</v>
      </c>
      <c r="AB80">
        <v>5</v>
      </c>
      <c r="AC80">
        <v>5</v>
      </c>
      <c r="AD80">
        <v>1</v>
      </c>
      <c r="AE80">
        <v>0</v>
      </c>
      <c r="AF80">
        <f>SUMPRODUCT($B$1:$AE$1,B80:AE80)/SUM(B80:AE80)</f>
        <v>17.283132530120483</v>
      </c>
      <c r="AG80">
        <f>B80*(B$1-$AF80)^2</f>
        <v>0</v>
      </c>
      <c r="AH80">
        <f>C80*(C$1-$AF80)^2</f>
        <v>0</v>
      </c>
      <c r="AI80">
        <f>D80*(D$1-$AF80)^2</f>
        <v>612.02362461895791</v>
      </c>
      <c r="AJ80">
        <f>E80*(E$1-$AF80)^2</f>
        <v>176.44160981274499</v>
      </c>
      <c r="AK80">
        <f>F80*(F$1-$AF80)^2</f>
        <v>754.3767237625201</v>
      </c>
      <c r="AL80">
        <f>G80*(G$1-$AF80)^2</f>
        <v>254.61815938452608</v>
      </c>
      <c r="AM80">
        <f>H80*(H$1-$AF80)^2</f>
        <v>634.45688779213242</v>
      </c>
      <c r="AN80">
        <f>I80*(I$1-$AF80)^2</f>
        <v>689.41239657424887</v>
      </c>
      <c r="AO80">
        <f>J80*(J$1-$AF80)^2</f>
        <v>343.05142255770073</v>
      </c>
      <c r="AP80">
        <f>K80*(K$1-$AF80)^2</f>
        <v>106.08803890259837</v>
      </c>
      <c r="AQ80">
        <f>L80*(L$1-$AF80)^2</f>
        <v>197.38877195529111</v>
      </c>
      <c r="AR80">
        <f>M80*(M$1-$AF80)^2</f>
        <v>279.11489330817255</v>
      </c>
      <c r="AS80">
        <f>N80*(N$1-$AF80)^2</f>
        <v>385.24970968210204</v>
      </c>
      <c r="AT80">
        <f>O80*(O$1-$AF80)^2</f>
        <v>215.57918420670646</v>
      </c>
      <c r="AU80">
        <f>P80*(P$1-$AF80)^2</f>
        <v>93.828494701698432</v>
      </c>
      <c r="AV80">
        <f>Q80*(Q$1-$AF80)^2</f>
        <v>37.86786906662801</v>
      </c>
      <c r="AW80">
        <f>R80*(R$1-$AF80)^2</f>
        <v>2.1644287995355045</v>
      </c>
      <c r="AX80">
        <f>S80*(S$1-$AF80)^2</f>
        <v>17.472564958629658</v>
      </c>
      <c r="AY80">
        <f>T80*(T$1-$AF80)^2</f>
        <v>100.21955291043683</v>
      </c>
      <c r="AZ80">
        <f>U80*(U$1-$AF80)^2</f>
        <v>191.91559007112778</v>
      </c>
      <c r="BA80">
        <f>V80*(V$1-$AF80)^2</f>
        <v>317.74738713891696</v>
      </c>
      <c r="BB80">
        <f>W80*(W$1-$AF80)^2</f>
        <v>311.48374219770636</v>
      </c>
      <c r="BC80">
        <f>X80*(X$1-$AF80)^2</f>
        <v>490.23860502249948</v>
      </c>
      <c r="BD80">
        <f>Y80*(Y$1-$AF80)^2</f>
        <v>270.69785164755399</v>
      </c>
      <c r="BE80">
        <f>Z80*(Z$1-$AF80)^2</f>
        <v>476.40034838147761</v>
      </c>
      <c r="BF80">
        <f>AA80*(AA$1-$AF80)^2</f>
        <v>379.91889243721863</v>
      </c>
      <c r="BG80">
        <f>AB80*(AB$1-$AF80)^2</f>
        <v>472.08756713601383</v>
      </c>
      <c r="BH80">
        <f>AC80*(AC$1-$AF80)^2</f>
        <v>574.25624183480897</v>
      </c>
      <c r="BI80">
        <f>AD80*(AD$1-$AF80)^2</f>
        <v>137.28498330672085</v>
      </c>
      <c r="BJ80">
        <f>AE80*(AE$1-$AF80)^2</f>
        <v>0</v>
      </c>
      <c r="BK80">
        <f>SQRT(SUM(AG80:BJ80)/SUM(B80:AE80))</f>
        <v>5.0662435711476412</v>
      </c>
      <c r="BL80">
        <f>_xlfn.FLOOR.MATH((AF80-BK80)/5)</f>
        <v>2</v>
      </c>
    </row>
    <row r="81" spans="1:64">
      <c r="A81" t="s">
        <v>354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5</v>
      </c>
      <c r="R81">
        <v>1</v>
      </c>
      <c r="S81">
        <v>13</v>
      </c>
      <c r="T81">
        <v>8</v>
      </c>
      <c r="U81">
        <v>9</v>
      </c>
      <c r="V81">
        <v>9</v>
      </c>
      <c r="W81">
        <v>6</v>
      </c>
      <c r="X81">
        <v>7</v>
      </c>
      <c r="Y81">
        <v>4</v>
      </c>
      <c r="Z81">
        <v>6</v>
      </c>
      <c r="AA81">
        <v>2</v>
      </c>
      <c r="AB81">
        <v>3</v>
      </c>
      <c r="AC81">
        <v>1</v>
      </c>
      <c r="AD81">
        <v>0</v>
      </c>
      <c r="AE81">
        <v>0</v>
      </c>
      <c r="AF81">
        <f>SUMPRODUCT($B$1:$AE$1,B81:AE81)/SUM(B81:AE81)</f>
        <v>20.75</v>
      </c>
      <c r="AG81">
        <f>B81*(B$1-$AF81)^2</f>
        <v>0</v>
      </c>
      <c r="AH81">
        <f>C81*(C$1-$AF81)^2</f>
        <v>0</v>
      </c>
      <c r="AI81">
        <f>D81*(D$1-$AF81)^2</f>
        <v>0</v>
      </c>
      <c r="AJ81">
        <f>E81*(E$1-$AF81)^2</f>
        <v>0</v>
      </c>
      <c r="AK81">
        <f>F81*(F$1-$AF81)^2</f>
        <v>0</v>
      </c>
      <c r="AL81">
        <f>G81*(G$1-$AF81)^2</f>
        <v>0</v>
      </c>
      <c r="AM81">
        <f>H81*(H$1-$AF81)^2</f>
        <v>0</v>
      </c>
      <c r="AN81">
        <f>I81*(I$1-$AF81)^2</f>
        <v>0</v>
      </c>
      <c r="AO81">
        <f>J81*(J$1-$AF81)^2</f>
        <v>0</v>
      </c>
      <c r="AP81">
        <f>K81*(K$1-$AF81)^2</f>
        <v>0</v>
      </c>
      <c r="AQ81">
        <f>L81*(L$1-$AF81)^2</f>
        <v>0</v>
      </c>
      <c r="AR81">
        <f>M81*(M$1-$AF81)^2</f>
        <v>76.5625</v>
      </c>
      <c r="AS81">
        <f>N81*(N$1-$AF81)^2</f>
        <v>60.0625</v>
      </c>
      <c r="AT81">
        <f>O81*(O$1-$AF81)^2</f>
        <v>0</v>
      </c>
      <c r="AU81">
        <f>P81*(P$1-$AF81)^2</f>
        <v>0</v>
      </c>
      <c r="AV81">
        <f>Q81*(Q$1-$AF81)^2</f>
        <v>112.8125</v>
      </c>
      <c r="AW81">
        <f>R81*(R$1-$AF81)^2</f>
        <v>14.0625</v>
      </c>
      <c r="AX81">
        <f>S81*(S$1-$AF81)^2</f>
        <v>98.3125</v>
      </c>
      <c r="AY81">
        <f>T81*(T$1-$AF81)^2</f>
        <v>24.5</v>
      </c>
      <c r="AZ81">
        <f>U81*(U$1-$AF81)^2</f>
        <v>5.0625</v>
      </c>
      <c r="BA81">
        <f>V81*(V$1-$AF81)^2</f>
        <v>0.5625</v>
      </c>
      <c r="BB81">
        <f>W81*(W$1-$AF81)^2</f>
        <v>9.375</v>
      </c>
      <c r="BC81">
        <f>X81*(X$1-$AF81)^2</f>
        <v>35.4375</v>
      </c>
      <c r="BD81">
        <f>Y81*(Y$1-$AF81)^2</f>
        <v>42.25</v>
      </c>
      <c r="BE81">
        <f>Z81*(Z$1-$AF81)^2</f>
        <v>108.375</v>
      </c>
      <c r="BF81">
        <f>AA81*(AA$1-$AF81)^2</f>
        <v>55.125</v>
      </c>
      <c r="BG81">
        <f>AB81*(AB$1-$AF81)^2</f>
        <v>117.1875</v>
      </c>
      <c r="BH81">
        <f>AC81*(AC$1-$AF81)^2</f>
        <v>52.5625</v>
      </c>
      <c r="BI81">
        <f>AD81*(AD$1-$AF81)^2</f>
        <v>0</v>
      </c>
      <c r="BJ81">
        <f>AE81*(AE$1-$AF81)^2</f>
        <v>0</v>
      </c>
      <c r="BK81">
        <f>SQRT(SUM(AG81:BJ81)/SUM(B81:AE81))</f>
        <v>3.2691742076555053</v>
      </c>
      <c r="BL81">
        <f>_xlfn.FLOOR.MATH((AF81-BK81)/5)</f>
        <v>3</v>
      </c>
    </row>
    <row r="82" spans="1:64">
      <c r="A82" t="s">
        <v>355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2</v>
      </c>
      <c r="Z82">
        <v>1</v>
      </c>
      <c r="AA82">
        <v>1</v>
      </c>
      <c r="AB82">
        <v>2</v>
      </c>
      <c r="AC82">
        <v>4</v>
      </c>
      <c r="AD82">
        <v>1</v>
      </c>
      <c r="AE82">
        <v>0</v>
      </c>
      <c r="AF82">
        <f>SUMPRODUCT($B$1:$AE$1,B82:AE82)/SUM(B82:AE82)</f>
        <v>26.727272727272727</v>
      </c>
      <c r="AG82">
        <f>B82*(B$1-$AF82)^2</f>
        <v>0</v>
      </c>
      <c r="AH82">
        <f>C82*(C$1-$AF82)^2</f>
        <v>0</v>
      </c>
      <c r="AI82">
        <f>D82*(D$1-$AF82)^2</f>
        <v>0</v>
      </c>
      <c r="AJ82">
        <f>E82*(E$1-$AF82)^2</f>
        <v>0</v>
      </c>
      <c r="AK82">
        <f>F82*(F$1-$AF82)^2</f>
        <v>0</v>
      </c>
      <c r="AL82">
        <f>G82*(G$1-$AF82)^2</f>
        <v>0</v>
      </c>
      <c r="AM82">
        <f>H82*(H$1-$AF82)^2</f>
        <v>0</v>
      </c>
      <c r="AN82">
        <f>I82*(I$1-$AF82)^2</f>
        <v>0</v>
      </c>
      <c r="AO82">
        <f>J82*(J$1-$AF82)^2</f>
        <v>0</v>
      </c>
      <c r="AP82">
        <f>K82*(K$1-$AF82)^2</f>
        <v>0</v>
      </c>
      <c r="AQ82">
        <f>L82*(L$1-$AF82)^2</f>
        <v>0</v>
      </c>
      <c r="AR82">
        <f>M82*(M$1-$AF82)^2</f>
        <v>0</v>
      </c>
      <c r="AS82">
        <f>N82*(N$1-$AF82)^2</f>
        <v>0</v>
      </c>
      <c r="AT82">
        <f>O82*(O$1-$AF82)^2</f>
        <v>0</v>
      </c>
      <c r="AU82">
        <f>P82*(P$1-$AF82)^2</f>
        <v>0</v>
      </c>
      <c r="AV82">
        <f>Q82*(Q$1-$AF82)^2</f>
        <v>0</v>
      </c>
      <c r="AW82">
        <f>R82*(R$1-$AF82)^2</f>
        <v>0</v>
      </c>
      <c r="AX82">
        <f>S82*(S$1-$AF82)^2</f>
        <v>0</v>
      </c>
      <c r="AY82">
        <f>T82*(T$1-$AF82)^2</f>
        <v>0</v>
      </c>
      <c r="AZ82">
        <f>U82*(U$1-$AF82)^2</f>
        <v>0</v>
      </c>
      <c r="BA82">
        <f>V82*(V$1-$AF82)^2</f>
        <v>0</v>
      </c>
      <c r="BB82">
        <f>W82*(W$1-$AF82)^2</f>
        <v>0</v>
      </c>
      <c r="BC82">
        <f>X82*(X$1-$AF82)^2</f>
        <v>0</v>
      </c>
      <c r="BD82">
        <f>Y82*(Y$1-$AF82)^2</f>
        <v>14.876033057851233</v>
      </c>
      <c r="BE82">
        <f>Z82*(Z$1-$AF82)^2</f>
        <v>2.9834710743801631</v>
      </c>
      <c r="BF82">
        <f>AA82*(AA$1-$AF82)^2</f>
        <v>0.52892561983470976</v>
      </c>
      <c r="BG82">
        <f>AB82*(AB$1-$AF82)^2</f>
        <v>0.14876033057851309</v>
      </c>
      <c r="BH82">
        <f>AC82*(AC$1-$AF82)^2</f>
        <v>6.4793388429752135</v>
      </c>
      <c r="BI82">
        <f>AD82*(AD$1-$AF82)^2</f>
        <v>5.1652892561983501</v>
      </c>
      <c r="BJ82">
        <f>AE82*(AE$1-$AF82)^2</f>
        <v>0</v>
      </c>
      <c r="BK82">
        <f>SQRT(SUM(AG82:BJ82)/SUM(B82:AE82))</f>
        <v>1.656442468935327</v>
      </c>
      <c r="BL82">
        <f>_xlfn.FLOOR.MATH((AF82-BK82)/5)</f>
        <v>5</v>
      </c>
    </row>
    <row r="83" spans="1:64">
      <c r="A83" t="s">
        <v>356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1</v>
      </c>
      <c r="V83">
        <v>1</v>
      </c>
      <c r="W83">
        <v>2</v>
      </c>
      <c r="X83">
        <v>1</v>
      </c>
      <c r="Y83">
        <v>2</v>
      </c>
      <c r="Z83">
        <v>1</v>
      </c>
      <c r="AA83">
        <v>1</v>
      </c>
      <c r="AB83">
        <v>1</v>
      </c>
      <c r="AC83">
        <v>2</v>
      </c>
      <c r="AD83">
        <v>0</v>
      </c>
      <c r="AE83">
        <v>0</v>
      </c>
      <c r="AF83">
        <f>SUMPRODUCT($B$1:$AE$1,B83:AE83)/SUM(B83:AE83)</f>
        <v>24.166666666666668</v>
      </c>
      <c r="AG83">
        <f>B83*(B$1-$AF83)^2</f>
        <v>0</v>
      </c>
      <c r="AH83">
        <f>C83*(C$1-$AF83)^2</f>
        <v>0</v>
      </c>
      <c r="AI83">
        <f>D83*(D$1-$AF83)^2</f>
        <v>0</v>
      </c>
      <c r="AJ83">
        <f>E83*(E$1-$AF83)^2</f>
        <v>0</v>
      </c>
      <c r="AK83">
        <f>F83*(F$1-$AF83)^2</f>
        <v>0</v>
      </c>
      <c r="AL83">
        <f>G83*(G$1-$AF83)^2</f>
        <v>0</v>
      </c>
      <c r="AM83">
        <f>H83*(H$1-$AF83)^2</f>
        <v>0</v>
      </c>
      <c r="AN83">
        <f>I83*(I$1-$AF83)^2</f>
        <v>0</v>
      </c>
      <c r="AO83">
        <f>J83*(J$1-$AF83)^2</f>
        <v>0</v>
      </c>
      <c r="AP83">
        <f>K83*(K$1-$AF83)^2</f>
        <v>0</v>
      </c>
      <c r="AQ83">
        <f>L83*(L$1-$AF83)^2</f>
        <v>0</v>
      </c>
      <c r="AR83">
        <f>M83*(M$1-$AF83)^2</f>
        <v>0</v>
      </c>
      <c r="AS83">
        <f>N83*(N$1-$AF83)^2</f>
        <v>0</v>
      </c>
      <c r="AT83">
        <f>O83*(O$1-$AF83)^2</f>
        <v>0</v>
      </c>
      <c r="AU83">
        <f>P83*(P$1-$AF83)^2</f>
        <v>0</v>
      </c>
      <c r="AV83">
        <f>Q83*(Q$1-$AF83)^2</f>
        <v>0</v>
      </c>
      <c r="AW83">
        <f>R83*(R$1-$AF83)^2</f>
        <v>0</v>
      </c>
      <c r="AX83">
        <f>S83*(S$1-$AF83)^2</f>
        <v>0</v>
      </c>
      <c r="AY83">
        <f>T83*(T$1-$AF83)^2</f>
        <v>0</v>
      </c>
      <c r="AZ83">
        <f>U83*(U$1-$AF83)^2</f>
        <v>17.361111111111121</v>
      </c>
      <c r="BA83">
        <f>V83*(V$1-$AF83)^2</f>
        <v>10.027777777777786</v>
      </c>
      <c r="BB83">
        <f>W83*(W$1-$AF83)^2</f>
        <v>9.3888888888888999</v>
      </c>
      <c r="BC83">
        <f>X83*(X$1-$AF83)^2</f>
        <v>1.3611111111111138</v>
      </c>
      <c r="BD83">
        <f>Y83*(Y$1-$AF83)^2</f>
        <v>5.5555555555556344E-2</v>
      </c>
      <c r="BE83">
        <f>Z83*(Z$1-$AF83)^2</f>
        <v>0.69444444444444242</v>
      </c>
      <c r="BF83">
        <f>AA83*(AA$1-$AF83)^2</f>
        <v>3.3611111111111067</v>
      </c>
      <c r="BG83">
        <f>AB83*(AB$1-$AF83)^2</f>
        <v>8.0277777777777715</v>
      </c>
      <c r="BH83">
        <f>AC83*(AC$1-$AF83)^2</f>
        <v>29.388888888888872</v>
      </c>
      <c r="BI83">
        <f>AD83*(AD$1-$AF83)^2</f>
        <v>0</v>
      </c>
      <c r="BJ83">
        <f>AE83*(AE$1-$AF83)^2</f>
        <v>0</v>
      </c>
      <c r="BK83">
        <f>SQRT(SUM(AG83:BJ83)/SUM(B83:AE83))</f>
        <v>2.5766041389567178</v>
      </c>
      <c r="BL83">
        <f>_xlfn.FLOOR.MATH((AF83-BK83)/5)</f>
        <v>4</v>
      </c>
    </row>
    <row r="84" spans="1:64">
      <c r="A84" t="s">
        <v>357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2</v>
      </c>
      <c r="AA84">
        <v>0</v>
      </c>
      <c r="AB84">
        <v>0</v>
      </c>
      <c r="AC84">
        <v>0</v>
      </c>
      <c r="AD84">
        <v>0</v>
      </c>
      <c r="AE84">
        <v>0</v>
      </c>
      <c r="AF84">
        <f>SUMPRODUCT($B$1:$AE$1,B84:AE84)/SUM(B84:AE84)</f>
        <v>25</v>
      </c>
      <c r="AG84">
        <f>B84*(B$1-$AF84)^2</f>
        <v>0</v>
      </c>
      <c r="AH84">
        <f>C84*(C$1-$AF84)^2</f>
        <v>0</v>
      </c>
      <c r="AI84">
        <f>D84*(D$1-$AF84)^2</f>
        <v>0</v>
      </c>
      <c r="AJ84">
        <f>E84*(E$1-$AF84)^2</f>
        <v>0</v>
      </c>
      <c r="AK84">
        <f>F84*(F$1-$AF84)^2</f>
        <v>0</v>
      </c>
      <c r="AL84">
        <f>G84*(G$1-$AF84)^2</f>
        <v>0</v>
      </c>
      <c r="AM84">
        <f>H84*(H$1-$AF84)^2</f>
        <v>0</v>
      </c>
      <c r="AN84">
        <f>I84*(I$1-$AF84)^2</f>
        <v>0</v>
      </c>
      <c r="AO84">
        <f>J84*(J$1-$AF84)^2</f>
        <v>0</v>
      </c>
      <c r="AP84">
        <f>K84*(K$1-$AF84)^2</f>
        <v>0</v>
      </c>
      <c r="AQ84">
        <f>L84*(L$1-$AF84)^2</f>
        <v>0</v>
      </c>
      <c r="AR84">
        <f>M84*(M$1-$AF84)^2</f>
        <v>0</v>
      </c>
      <c r="AS84">
        <f>N84*(N$1-$AF84)^2</f>
        <v>0</v>
      </c>
      <c r="AT84">
        <f>O84*(O$1-$AF84)^2</f>
        <v>0</v>
      </c>
      <c r="AU84">
        <f>P84*(P$1-$AF84)^2</f>
        <v>0</v>
      </c>
      <c r="AV84">
        <f>Q84*(Q$1-$AF84)^2</f>
        <v>0</v>
      </c>
      <c r="AW84">
        <f>R84*(R$1-$AF84)^2</f>
        <v>0</v>
      </c>
      <c r="AX84">
        <f>S84*(S$1-$AF84)^2</f>
        <v>0</v>
      </c>
      <c r="AY84">
        <f>T84*(T$1-$AF84)^2</f>
        <v>0</v>
      </c>
      <c r="AZ84">
        <f>U84*(U$1-$AF84)^2</f>
        <v>0</v>
      </c>
      <c r="BA84">
        <f>V84*(V$1-$AF84)^2</f>
        <v>0</v>
      </c>
      <c r="BB84">
        <f>W84*(W$1-$AF84)^2</f>
        <v>0</v>
      </c>
      <c r="BC84">
        <f>X84*(X$1-$AF84)^2</f>
        <v>0</v>
      </c>
      <c r="BD84">
        <f>Y84*(Y$1-$AF84)^2</f>
        <v>0</v>
      </c>
      <c r="BE84">
        <f>Z84*(Z$1-$AF84)^2</f>
        <v>0</v>
      </c>
      <c r="BF84">
        <f>AA84*(AA$1-$AF84)^2</f>
        <v>0</v>
      </c>
      <c r="BG84">
        <f>AB84*(AB$1-$AF84)^2</f>
        <v>0</v>
      </c>
      <c r="BH84">
        <f>AC84*(AC$1-$AF84)^2</f>
        <v>0</v>
      </c>
      <c r="BI84">
        <f>AD84*(AD$1-$AF84)^2</f>
        <v>0</v>
      </c>
      <c r="BJ84">
        <f>AE84*(AE$1-$AF84)^2</f>
        <v>0</v>
      </c>
      <c r="BK84">
        <f>SQRT(SUM(AG84:BJ84)/SUM(B84:AE84))</f>
        <v>0</v>
      </c>
      <c r="BL84">
        <f>_xlfn.FLOOR.MATH((AF84-BK84)/5)</f>
        <v>5</v>
      </c>
    </row>
    <row r="85" spans="1:64">
      <c r="A85" t="s">
        <v>358</v>
      </c>
      <c r="B85">
        <v>3</v>
      </c>
      <c r="C85">
        <v>12</v>
      </c>
      <c r="D85">
        <v>32</v>
      </c>
      <c r="E85">
        <v>40</v>
      </c>
      <c r="F85">
        <v>35</v>
      </c>
      <c r="G85">
        <v>31</v>
      </c>
      <c r="H85">
        <v>34</v>
      </c>
      <c r="I85">
        <v>41</v>
      </c>
      <c r="J85">
        <v>41</v>
      </c>
      <c r="K85">
        <v>39</v>
      </c>
      <c r="L85">
        <v>37</v>
      </c>
      <c r="M85">
        <v>75</v>
      </c>
      <c r="N85">
        <v>55</v>
      </c>
      <c r="O85">
        <v>54</v>
      </c>
      <c r="P85">
        <v>59</v>
      </c>
      <c r="Q85">
        <v>85</v>
      </c>
      <c r="R85">
        <v>88</v>
      </c>
      <c r="S85">
        <v>95</v>
      </c>
      <c r="T85">
        <v>76</v>
      </c>
      <c r="U85">
        <v>77</v>
      </c>
      <c r="V85">
        <v>81</v>
      </c>
      <c r="W85">
        <v>64</v>
      </c>
      <c r="X85">
        <v>67</v>
      </c>
      <c r="Y85">
        <v>50</v>
      </c>
      <c r="Z85">
        <v>35</v>
      </c>
      <c r="AA85">
        <v>29</v>
      </c>
      <c r="AB85">
        <v>12</v>
      </c>
      <c r="AC85">
        <v>12</v>
      </c>
      <c r="AD85">
        <v>5</v>
      </c>
      <c r="AE85">
        <v>2</v>
      </c>
      <c r="AF85">
        <f>SUMPRODUCT($B$1:$AE$1,B85:AE85)/SUM(B85:AE85)</f>
        <v>15.758418740849194</v>
      </c>
      <c r="AG85">
        <f>B85*(B$1-$AF85)^2</f>
        <v>653.43277119074605</v>
      </c>
      <c r="AH85">
        <f>C85*(C$1-$AF85)^2</f>
        <v>2271.5290349826037</v>
      </c>
      <c r="AI85">
        <f>D85*(D$1-$AF85)^2</f>
        <v>5208.8719605392616</v>
      </c>
      <c r="AJ85">
        <f>E85*(E$1-$AF85)^2</f>
        <v>5530.4164514061413</v>
      </c>
      <c r="AK85">
        <f>F85*(F$1-$AF85)^2</f>
        <v>4051.0250831209305</v>
      </c>
      <c r="AL85">
        <f>G85*(G$1-$AF85)^2</f>
        <v>2952.0288259744602</v>
      </c>
      <c r="AM85">
        <f>H85*(H$1-$AF85)^2</f>
        <v>2608.1365605619853</v>
      </c>
      <c r="AN85">
        <f>I85*(I$1-$AF85)^2</f>
        <v>2467.91551569276</v>
      </c>
      <c r="AO85">
        <f>J85*(J$1-$AF85)^2</f>
        <v>1872.7251789431259</v>
      </c>
      <c r="AP85">
        <f>K85*(K$1-$AF85)^2</f>
        <v>1293.2160694035656</v>
      </c>
      <c r="AQ85">
        <f>L85*(L$1-$AF85)^2</f>
        <v>837.77430979079884</v>
      </c>
      <c r="AR85">
        <f>M85*(M$1-$AF85)^2</f>
        <v>1059.4283573674832</v>
      </c>
      <c r="AS85">
        <f>N85*(N$1-$AF85)^2</f>
        <v>418.488067242743</v>
      </c>
      <c r="AT85">
        <f>O85*(O$1-$AF85)^2</f>
        <v>166.96996928116195</v>
      </c>
      <c r="AU85">
        <f>P85*(P$1-$AF85)^2</f>
        <v>33.936740201805364</v>
      </c>
      <c r="AV85">
        <f>Q85*(Q$1-$AF85)^2</f>
        <v>4.9607279056955456</v>
      </c>
      <c r="AW85">
        <f>R85*(R$1-$AF85)^2</f>
        <v>135.65411403055603</v>
      </c>
      <c r="AX85">
        <f>S85*(S$1-$AF85)^2</f>
        <v>477.34522143073065</v>
      </c>
      <c r="AY85">
        <f>T85*(T$1-$AF85)^2</f>
        <v>798.59652853550688</v>
      </c>
      <c r="AZ85">
        <f>U85*(U$1-$AF85)^2</f>
        <v>1385.3078915044089</v>
      </c>
      <c r="BA85">
        <f>V85*(V$1-$AF85)^2</f>
        <v>2225.4081017987569</v>
      </c>
      <c r="BB85">
        <f>W85*(W$1-$AF85)^2</f>
        <v>2493.2695433332838</v>
      </c>
      <c r="BC85">
        <f>X85*(X$1-$AF85)^2</f>
        <v>3513.5134419032393</v>
      </c>
      <c r="BD85">
        <f>Y85*(Y$1-$AF85)^2</f>
        <v>3396.1830825592892</v>
      </c>
      <c r="BE85">
        <f>Z85*(Z$1-$AF85)^2</f>
        <v>2989.2388459320587</v>
      </c>
      <c r="BF85">
        <f>AA85*(AA$1-$AF85)^2</f>
        <v>3041.8096139458812</v>
      </c>
      <c r="BG85">
        <f>AB85*(AB$1-$AF85)^2</f>
        <v>1516.4777904730875</v>
      </c>
      <c r="BH85">
        <f>AC85*(AC$1-$AF85)^2</f>
        <v>1798.2757406927067</v>
      </c>
      <c r="BI85">
        <f>AD85*(AD$1-$AF85)^2</f>
        <v>876.69737121346907</v>
      </c>
      <c r="BJ85">
        <f>AE85*(AE$1-$AF85)^2</f>
        <v>405.64527352199087</v>
      </c>
      <c r="BK85">
        <f>SQRT(SUM(AG85:BJ85)/SUM(B85:AE85))</f>
        <v>6.4304067089507235</v>
      </c>
      <c r="BL85">
        <f>_xlfn.FLOOR.MATH((AF85-BK85)/5)</f>
        <v>1</v>
      </c>
    </row>
    <row r="86" spans="1:64">
      <c r="A86" t="s">
        <v>359</v>
      </c>
      <c r="B86">
        <v>0</v>
      </c>
      <c r="C86">
        <v>0</v>
      </c>
      <c r="D86">
        <v>0</v>
      </c>
      <c r="E86">
        <v>5</v>
      </c>
      <c r="F86">
        <v>3</v>
      </c>
      <c r="G86">
        <v>2</v>
      </c>
      <c r="H86">
        <v>2</v>
      </c>
      <c r="I86">
        <v>3</v>
      </c>
      <c r="J86">
        <v>3</v>
      </c>
      <c r="K86">
        <v>3</v>
      </c>
      <c r="L86">
        <v>2</v>
      </c>
      <c r="M86">
        <v>3</v>
      </c>
      <c r="N86">
        <v>5</v>
      </c>
      <c r="O86">
        <v>5</v>
      </c>
      <c r="P86">
        <v>3</v>
      </c>
      <c r="Q86">
        <v>8</v>
      </c>
      <c r="R86">
        <v>3</v>
      </c>
      <c r="S86">
        <v>6</v>
      </c>
      <c r="T86">
        <v>1</v>
      </c>
      <c r="U86">
        <v>5</v>
      </c>
      <c r="V86">
        <v>8</v>
      </c>
      <c r="W86">
        <v>4</v>
      </c>
      <c r="X86">
        <v>5</v>
      </c>
      <c r="Y86">
        <v>2</v>
      </c>
      <c r="Z86">
        <v>4</v>
      </c>
      <c r="AA86">
        <v>5</v>
      </c>
      <c r="AB86">
        <v>0</v>
      </c>
      <c r="AC86">
        <v>0</v>
      </c>
      <c r="AD86">
        <v>1</v>
      </c>
      <c r="AE86">
        <v>0</v>
      </c>
      <c r="AF86">
        <f>SUMPRODUCT($B$1:$AE$1,B86:AE86)/SUM(B86:AE86)</f>
        <v>16.087912087912088</v>
      </c>
      <c r="AG86">
        <f>B86*(B$1-$AF86)^2</f>
        <v>0</v>
      </c>
      <c r="AH86">
        <f>C86*(C$1-$AF86)^2</f>
        <v>0</v>
      </c>
      <c r="AI86">
        <f>D86*(D$1-$AF86)^2</f>
        <v>0</v>
      </c>
      <c r="AJ86">
        <f>E86*(E$1-$AF86)^2</f>
        <v>730.58809322545585</v>
      </c>
      <c r="AK86">
        <f>F86*(F$1-$AF86)^2</f>
        <v>368.82538340780098</v>
      </c>
      <c r="AL86">
        <f>G86*(G$1-$AF86)^2</f>
        <v>203.53194058688564</v>
      </c>
      <c r="AM86">
        <f>H86*(H$1-$AF86)^2</f>
        <v>165.18029223523729</v>
      </c>
      <c r="AN86">
        <f>I86*(I$1-$AF86)^2</f>
        <v>196.24296582538341</v>
      </c>
      <c r="AO86">
        <f>J86*(J$1-$AF86)^2</f>
        <v>150.71549329791085</v>
      </c>
      <c r="AP86">
        <f>K86*(K$1-$AF86)^2</f>
        <v>111.18802077043833</v>
      </c>
      <c r="AQ86">
        <f>L86*(L$1-$AF86)^2</f>
        <v>51.77369882864388</v>
      </c>
      <c r="AR86">
        <f>M86*(M$1-$AF86)^2</f>
        <v>50.133075715493291</v>
      </c>
      <c r="AS86">
        <f>N86*(N$1-$AF86)^2</f>
        <v>47.676005313367938</v>
      </c>
      <c r="AT86">
        <f>O86*(O$1-$AF86)^2</f>
        <v>21.796884434247062</v>
      </c>
      <c r="AU86">
        <f>P86*(P$1-$AF86)^2</f>
        <v>3.5506581330757134</v>
      </c>
      <c r="AV86">
        <f>Q86*(Q$1-$AF86)^2</f>
        <v>6.182828160850095E-2</v>
      </c>
      <c r="AW86">
        <f>R86*(R$1-$AF86)^2</f>
        <v>2.4957130781306622</v>
      </c>
      <c r="AX86">
        <f>S86*(S$1-$AF86)^2</f>
        <v>21.936481101316275</v>
      </c>
      <c r="AY86">
        <f>T86*(T$1-$AF86)^2</f>
        <v>8.4802560077285367</v>
      </c>
      <c r="AZ86">
        <f>U86*(U$1-$AF86)^2</f>
        <v>76.522159159521806</v>
      </c>
      <c r="BA86">
        <f>V86*(V$1-$AF86)^2</f>
        <v>193.0288612486415</v>
      </c>
      <c r="BB86">
        <f>W86*(W$1-$AF86)^2</f>
        <v>139.81113392102404</v>
      </c>
      <c r="BC86">
        <f>X86*(X$1-$AF86)^2</f>
        <v>238.88479652215918</v>
      </c>
      <c r="BD86">
        <f>Y86*(Y$1-$AF86)^2</f>
        <v>125.20227025721532</v>
      </c>
      <c r="BE86">
        <f>Z86*(Z$1-$AF86)^2</f>
        <v>317.70124381113396</v>
      </c>
      <c r="BF86">
        <f>AA86*(AA$1-$AF86)^2</f>
        <v>491.24743388479658</v>
      </c>
      <c r="BG86">
        <f>AB86*(AB$1-$AF86)^2</f>
        <v>0</v>
      </c>
      <c r="BH86">
        <f>AC86*(AC$1-$AF86)^2</f>
        <v>0</v>
      </c>
      <c r="BI86">
        <f>AD86*(AD$1-$AF86)^2</f>
        <v>166.72201424948679</v>
      </c>
      <c r="BJ86">
        <f>AE86*(AE$1-$AF86)^2</f>
        <v>0</v>
      </c>
      <c r="BK86">
        <f>SQRT(SUM(AG86:BJ86)/SUM(B86:AE86))</f>
        <v>6.5325025944210404</v>
      </c>
      <c r="BL86">
        <f>_xlfn.FLOOR.MATH((AF86-BK86)/5)</f>
        <v>1</v>
      </c>
    </row>
    <row r="87" spans="1:64">
      <c r="A87" t="s">
        <v>360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2</v>
      </c>
      <c r="T87">
        <v>1</v>
      </c>
      <c r="U87">
        <v>0</v>
      </c>
      <c r="V87">
        <v>1</v>
      </c>
      <c r="W87">
        <v>1</v>
      </c>
      <c r="X87">
        <v>0</v>
      </c>
      <c r="Y87">
        <v>1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f>SUMPRODUCT($B$1:$AE$1,B87:AE87)/SUM(B87:AE87)</f>
        <v>17.875</v>
      </c>
      <c r="AG87">
        <f>B87*(B$1-$AF87)^2</f>
        <v>0</v>
      </c>
      <c r="AH87">
        <f>C87*(C$1-$AF87)^2</f>
        <v>0</v>
      </c>
      <c r="AI87">
        <f>D87*(D$1-$AF87)^2</f>
        <v>0</v>
      </c>
      <c r="AJ87">
        <f>E87*(E$1-$AF87)^2</f>
        <v>0</v>
      </c>
      <c r="AK87">
        <f>F87*(F$1-$AF87)^2</f>
        <v>0</v>
      </c>
      <c r="AL87">
        <f>G87*(G$1-$AF87)^2</f>
        <v>0</v>
      </c>
      <c r="AM87">
        <f>H87*(H$1-$AF87)^2</f>
        <v>0</v>
      </c>
      <c r="AN87">
        <f>I87*(I$1-$AF87)^2</f>
        <v>0</v>
      </c>
      <c r="AO87">
        <f>J87*(J$1-$AF87)^2</f>
        <v>78.765625</v>
      </c>
      <c r="AP87">
        <f>K87*(K$1-$AF87)^2</f>
        <v>0</v>
      </c>
      <c r="AQ87">
        <f>L87*(L$1-$AF87)^2</f>
        <v>0</v>
      </c>
      <c r="AR87">
        <f>M87*(M$1-$AF87)^2</f>
        <v>34.515625</v>
      </c>
      <c r="AS87">
        <f>N87*(N$1-$AF87)^2</f>
        <v>0</v>
      </c>
      <c r="AT87">
        <f>O87*(O$1-$AF87)^2</f>
        <v>0</v>
      </c>
      <c r="AU87">
        <f>P87*(P$1-$AF87)^2</f>
        <v>0</v>
      </c>
      <c r="AV87">
        <f>Q87*(Q$1-$AF87)^2</f>
        <v>0</v>
      </c>
      <c r="AW87">
        <f>R87*(R$1-$AF87)^2</f>
        <v>0</v>
      </c>
      <c r="AX87">
        <f>S87*(S$1-$AF87)^2</f>
        <v>3.125E-2</v>
      </c>
      <c r="AY87">
        <f>T87*(T$1-$AF87)^2</f>
        <v>1.265625</v>
      </c>
      <c r="AZ87">
        <f>U87*(U$1-$AF87)^2</f>
        <v>0</v>
      </c>
      <c r="BA87">
        <f>V87*(V$1-$AF87)^2</f>
        <v>9.765625</v>
      </c>
      <c r="BB87">
        <f>W87*(W$1-$AF87)^2</f>
        <v>17.015625</v>
      </c>
      <c r="BC87">
        <f>X87*(X$1-$AF87)^2</f>
        <v>0</v>
      </c>
      <c r="BD87">
        <f>Y87*(Y$1-$AF87)^2</f>
        <v>37.515625</v>
      </c>
      <c r="BE87">
        <f>Z87*(Z$1-$AF87)^2</f>
        <v>0</v>
      </c>
      <c r="BF87">
        <f>AA87*(AA$1-$AF87)^2</f>
        <v>0</v>
      </c>
      <c r="BG87">
        <f>AB87*(AB$1-$AF87)^2</f>
        <v>0</v>
      </c>
      <c r="BH87">
        <f>AC87*(AC$1-$AF87)^2</f>
        <v>0</v>
      </c>
      <c r="BI87">
        <f>AD87*(AD$1-$AF87)^2</f>
        <v>0</v>
      </c>
      <c r="BJ87">
        <f>AE87*(AE$1-$AF87)^2</f>
        <v>0</v>
      </c>
      <c r="BK87">
        <f>SQRT(SUM(AG87:BJ87)/SUM(B87:AE87))</f>
        <v>4.7285700798444346</v>
      </c>
      <c r="BL87">
        <f>_xlfn.FLOOR.MATH((AF87-BK87)/5)</f>
        <v>2</v>
      </c>
    </row>
    <row r="88" spans="1:64">
      <c r="A88" t="s">
        <v>361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f>SUMPRODUCT($B$1:$AE$1,B88:AE88)/SUM(B88:AE88)</f>
        <v>18</v>
      </c>
      <c r="AG88">
        <f>B88*(B$1-$AF88)^2</f>
        <v>0</v>
      </c>
      <c r="AH88">
        <f>C88*(C$1-$AF88)^2</f>
        <v>0</v>
      </c>
      <c r="AI88">
        <f>D88*(D$1-$AF88)^2</f>
        <v>0</v>
      </c>
      <c r="AJ88">
        <f>E88*(E$1-$AF88)^2</f>
        <v>0</v>
      </c>
      <c r="AK88">
        <f>F88*(F$1-$AF88)^2</f>
        <v>0</v>
      </c>
      <c r="AL88">
        <f>G88*(G$1-$AF88)^2</f>
        <v>0</v>
      </c>
      <c r="AM88">
        <f>H88*(H$1-$AF88)^2</f>
        <v>0</v>
      </c>
      <c r="AN88">
        <f>I88*(I$1-$AF88)^2</f>
        <v>0</v>
      </c>
      <c r="AO88">
        <f>J88*(J$1-$AF88)^2</f>
        <v>0</v>
      </c>
      <c r="AP88">
        <f>K88*(K$1-$AF88)^2</f>
        <v>0</v>
      </c>
      <c r="AQ88">
        <f>L88*(L$1-$AF88)^2</f>
        <v>0</v>
      </c>
      <c r="AR88">
        <f>M88*(M$1-$AF88)^2</f>
        <v>0</v>
      </c>
      <c r="AS88">
        <f>N88*(N$1-$AF88)^2</f>
        <v>0</v>
      </c>
      <c r="AT88">
        <f>O88*(O$1-$AF88)^2</f>
        <v>0</v>
      </c>
      <c r="AU88">
        <f>P88*(P$1-$AF88)^2</f>
        <v>0</v>
      </c>
      <c r="AV88">
        <f>Q88*(Q$1-$AF88)^2</f>
        <v>0</v>
      </c>
      <c r="AW88">
        <f>R88*(R$1-$AF88)^2</f>
        <v>1</v>
      </c>
      <c r="AX88">
        <f>S88*(S$1-$AF88)^2</f>
        <v>0</v>
      </c>
      <c r="AY88">
        <f>T88*(T$1-$AF88)^2</f>
        <v>1</v>
      </c>
      <c r="AZ88">
        <f>U88*(U$1-$AF88)^2</f>
        <v>0</v>
      </c>
      <c r="BA88">
        <f>V88*(V$1-$AF88)^2</f>
        <v>0</v>
      </c>
      <c r="BB88">
        <f>W88*(W$1-$AF88)^2</f>
        <v>0</v>
      </c>
      <c r="BC88">
        <f>X88*(X$1-$AF88)^2</f>
        <v>0</v>
      </c>
      <c r="BD88">
        <f>Y88*(Y$1-$AF88)^2</f>
        <v>0</v>
      </c>
      <c r="BE88">
        <f>Z88*(Z$1-$AF88)^2</f>
        <v>0</v>
      </c>
      <c r="BF88">
        <f>AA88*(AA$1-$AF88)^2</f>
        <v>0</v>
      </c>
      <c r="BG88">
        <f>AB88*(AB$1-$AF88)^2</f>
        <v>0</v>
      </c>
      <c r="BH88">
        <f>AC88*(AC$1-$AF88)^2</f>
        <v>0</v>
      </c>
      <c r="BI88">
        <f>AD88*(AD$1-$AF88)^2</f>
        <v>0</v>
      </c>
      <c r="BJ88">
        <f>AE88*(AE$1-$AF88)^2</f>
        <v>0</v>
      </c>
      <c r="BK88">
        <f>SQRT(SUM(AG88:BJ88)/SUM(B88:AE88))</f>
        <v>0.81649658092772603</v>
      </c>
      <c r="BL88">
        <f>_xlfn.FLOOR.MATH((AF88-BK88)/5)</f>
        <v>3</v>
      </c>
    </row>
    <row r="89" spans="1:64">
      <c r="A89" t="s">
        <v>362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>
        <v>9</v>
      </c>
      <c r="I89">
        <v>22</v>
      </c>
      <c r="J89">
        <v>91</v>
      </c>
      <c r="K89">
        <v>138</v>
      </c>
      <c r="L89">
        <v>162</v>
      </c>
      <c r="M89">
        <v>206</v>
      </c>
      <c r="N89">
        <v>171</v>
      </c>
      <c r="O89">
        <v>169</v>
      </c>
      <c r="P89">
        <v>114</v>
      </c>
      <c r="Q89">
        <v>151</v>
      </c>
      <c r="R89">
        <v>119</v>
      </c>
      <c r="S89">
        <v>86</v>
      </c>
      <c r="T89">
        <v>112</v>
      </c>
      <c r="U89">
        <v>54</v>
      </c>
      <c r="V89">
        <v>63</v>
      </c>
      <c r="W89">
        <v>52</v>
      </c>
      <c r="X89">
        <v>57</v>
      </c>
      <c r="Y89">
        <v>19</v>
      </c>
      <c r="Z89">
        <v>26</v>
      </c>
      <c r="AA89">
        <v>19</v>
      </c>
      <c r="AB89">
        <v>14</v>
      </c>
      <c r="AC89">
        <v>4</v>
      </c>
      <c r="AD89">
        <v>3</v>
      </c>
      <c r="AE89">
        <v>2</v>
      </c>
      <c r="AF89">
        <f>SUMPRODUCT($B$1:$AE$1,B89:AE89)/SUM(B89:AE89)</f>
        <v>15.132510729613735</v>
      </c>
      <c r="AG89">
        <f>B89*(B$1-$AF89)^2</f>
        <v>0</v>
      </c>
      <c r="AH89">
        <f>C89*(C$1-$AF89)^2</f>
        <v>0</v>
      </c>
      <c r="AI89">
        <f>D89*(D$1-$AF89)^2</f>
        <v>0</v>
      </c>
      <c r="AJ89">
        <f>E89*(E$1-$AF89)^2</f>
        <v>0</v>
      </c>
      <c r="AK89">
        <f>F89*(F$1-$AF89)^2</f>
        <v>0</v>
      </c>
      <c r="AL89">
        <f>G89*(G$1-$AF89)^2</f>
        <v>83.402752226509989</v>
      </c>
      <c r="AM89">
        <f>H89*(H$1-$AF89)^2</f>
        <v>595.23957690554266</v>
      </c>
      <c r="AN89">
        <f>I89*(I$1-$AF89)^2</f>
        <v>1119.1996047772111</v>
      </c>
      <c r="AO89">
        <f>J89*(J$1-$AF89)^2</f>
        <v>3422.2995942433099</v>
      </c>
      <c r="AP89">
        <f>K89*(K$1-$AF89)^2</f>
        <v>3635.2879617648155</v>
      </c>
      <c r="AQ89">
        <f>L89*(L$1-$AF89)^2</f>
        <v>2766.5784787203679</v>
      </c>
      <c r="AR89">
        <f>M89*(M$1-$AF89)^2</f>
        <v>2021.4004350559057</v>
      </c>
      <c r="AS89">
        <f>N89*(N$1-$AF89)^2</f>
        <v>777.63994403792719</v>
      </c>
      <c r="AT89">
        <f>O89*(O$1-$AF89)^2</f>
        <v>216.75611340464948</v>
      </c>
      <c r="AU89">
        <f>P89*(P$1-$AF89)^2</f>
        <v>2.0017366547551299</v>
      </c>
      <c r="AV89">
        <f>Q89*(Q$1-$AF89)^2</f>
        <v>113.63318276952954</v>
      </c>
      <c r="AW89">
        <f>R89*(R$1-$AF89)^2</f>
        <v>415.01442482593126</v>
      </c>
      <c r="AX89">
        <f>S89*(S$1-$AF89)^2</f>
        <v>707.13454555711064</v>
      </c>
      <c r="AY89">
        <f>T89*(T$1-$AF89)^2</f>
        <v>1675.2370047339234</v>
      </c>
      <c r="AZ89">
        <f>U89*(U$1-$AF89)^2</f>
        <v>1279.3923970555725</v>
      </c>
      <c r="BA89">
        <f>V89*(V$1-$AF89)^2</f>
        <v>2168.9281113001707</v>
      </c>
      <c r="BB89">
        <f>W89*(W$1-$AF89)^2</f>
        <v>2452.4452617012648</v>
      </c>
      <c r="BC89">
        <f>X89*(X$1-$AF89)^2</f>
        <v>3528.1510829196518</v>
      </c>
      <c r="BD89">
        <f>Y89*(Y$1-$AF89)^2</f>
        <v>1494.0149532478954</v>
      </c>
      <c r="BE89">
        <f>Z89*(Z$1-$AF89)^2</f>
        <v>2531.55095703089</v>
      </c>
      <c r="BF89">
        <f>AA89*(AA$1-$AF89)^2</f>
        <v>2243.9441377972516</v>
      </c>
      <c r="BG89">
        <f>AB89*(AB$1-$AF89)^2</f>
        <v>1971.7222221582638</v>
      </c>
      <c r="BH89">
        <f>AC89*(AC$1-$AF89)^2</f>
        <v>662.28912049402265</v>
      </c>
      <c r="BI89">
        <f>AD89*(AD$1-$AF89)^2</f>
        <v>576.92177599283457</v>
      </c>
      <c r="BJ89">
        <f>AE89*(AE$1-$AF89)^2</f>
        <v>442.08447441010145</v>
      </c>
      <c r="BK89">
        <f>SQRT(SUM(AG89:BJ89)/SUM(B89:AE89))</f>
        <v>4.4494218803825927</v>
      </c>
      <c r="BL89">
        <f>_xlfn.FLOOR.MATH((AF89-BK89)/5)</f>
        <v>2</v>
      </c>
    </row>
    <row r="90" spans="1:64">
      <c r="A90" t="s">
        <v>363</v>
      </c>
      <c r="B90">
        <v>0</v>
      </c>
      <c r="C90">
        <v>0</v>
      </c>
      <c r="D90">
        <v>0</v>
      </c>
      <c r="E90">
        <v>0</v>
      </c>
      <c r="F90">
        <v>2</v>
      </c>
      <c r="G90">
        <v>6</v>
      </c>
      <c r="H90">
        <v>15</v>
      </c>
      <c r="I90">
        <v>30</v>
      </c>
      <c r="J90">
        <v>99</v>
      </c>
      <c r="K90">
        <v>152</v>
      </c>
      <c r="L90">
        <v>194</v>
      </c>
      <c r="M90">
        <v>325</v>
      </c>
      <c r="N90">
        <v>313</v>
      </c>
      <c r="O90">
        <v>293</v>
      </c>
      <c r="P90">
        <v>216</v>
      </c>
      <c r="Q90">
        <v>255</v>
      </c>
      <c r="R90">
        <v>222</v>
      </c>
      <c r="S90">
        <v>204</v>
      </c>
      <c r="T90">
        <v>208</v>
      </c>
      <c r="U90">
        <v>158</v>
      </c>
      <c r="V90">
        <v>158</v>
      </c>
      <c r="W90">
        <v>154</v>
      </c>
      <c r="X90">
        <v>121</v>
      </c>
      <c r="Y90">
        <v>73</v>
      </c>
      <c r="Z90">
        <v>72</v>
      </c>
      <c r="AA90">
        <v>66</v>
      </c>
      <c r="AB90">
        <v>32</v>
      </c>
      <c r="AC90">
        <v>12</v>
      </c>
      <c r="AD90">
        <v>9</v>
      </c>
      <c r="AE90">
        <v>9</v>
      </c>
      <c r="AF90">
        <f>SUMPRODUCT($B$1:$AE$1,B90:AE90)/SUM(B90:AE90)</f>
        <v>16.29576221306651</v>
      </c>
      <c r="AG90">
        <f>B90*(B$1-$AF90)^2</f>
        <v>0</v>
      </c>
      <c r="AH90">
        <f>C90*(C$1-$AF90)^2</f>
        <v>0</v>
      </c>
      <c r="AI90">
        <f>D90*(D$1-$AF90)^2</f>
        <v>0</v>
      </c>
      <c r="AJ90">
        <f>E90*(E$1-$AF90)^2</f>
        <v>0</v>
      </c>
      <c r="AK90">
        <f>F90*(F$1-$AF90)^2</f>
        <v>255.18848794828244</v>
      </c>
      <c r="AL90">
        <f>G90*(G$1-$AF90)^2</f>
        <v>636.01631728804921</v>
      </c>
      <c r="AM90">
        <f>H90*(H$1-$AF90)^2</f>
        <v>1296.1679268281277</v>
      </c>
      <c r="AN90">
        <f>I90*(I$1-$AF90)^2</f>
        <v>2064.5901208722648</v>
      </c>
      <c r="AO90">
        <f>J90*(J$1-$AF90)^2</f>
        <v>5269.586480691305</v>
      </c>
      <c r="AP90">
        <f>K90*(K$1-$AF90)^2</f>
        <v>6024.7665202083699</v>
      </c>
      <c r="AQ90">
        <f>L90*(L$1-$AF90)^2</f>
        <v>5440.7488989645617</v>
      </c>
      <c r="AR90">
        <f>M90*(M$1-$AF90)^2</f>
        <v>5997.4112221432761</v>
      </c>
      <c r="AS90">
        <f>N90*(N$1-$AF90)^2</f>
        <v>3399.8212008691198</v>
      </c>
      <c r="AT90">
        <f>O90*(O$1-$AF90)^2</f>
        <v>1544.2635727106037</v>
      </c>
      <c r="AU90">
        <f>P90*(P$1-$AF90)^2</f>
        <v>362.66393796718029</v>
      </c>
      <c r="AV90">
        <f>Q90*(Q$1-$AF90)^2</f>
        <v>22.306198102889923</v>
      </c>
      <c r="AW90">
        <f>R90*(R$1-$AF90)^2</f>
        <v>110.10109104098547</v>
      </c>
      <c r="AX90">
        <f>S90*(S$1-$AF90)^2</f>
        <v>592.50299262003966</v>
      </c>
      <c r="AY90">
        <f>T90*(T$1-$AF90)^2</f>
        <v>1521.0836177220194</v>
      </c>
      <c r="AZ90">
        <f>U90*(U$1-$AF90)^2</f>
        <v>2167.977657979055</v>
      </c>
      <c r="BA90">
        <f>V90*(V$1-$AF90)^2</f>
        <v>3496.5167986500383</v>
      </c>
      <c r="BB90">
        <f>W90*(W$1-$AF90)^2</f>
        <v>5010.9026244015013</v>
      </c>
      <c r="BC90">
        <f>X90*(X$1-$AF90)^2</f>
        <v>5438.5633207533701</v>
      </c>
      <c r="BD90">
        <f>Y90*(Y$1-$AF90)^2</f>
        <v>4332.93543106581</v>
      </c>
      <c r="BE90">
        <f>Z90*(Z$1-$AF90)^2</f>
        <v>5454.9903925066192</v>
      </c>
      <c r="BF90">
        <f>AA90*(AA$1-$AF90)^2</f>
        <v>6215.3672476729544</v>
      </c>
      <c r="BG90">
        <f>AB90*(AB$1-$AF90)^2</f>
        <v>3666.5826111748729</v>
      </c>
      <c r="BH90">
        <f>AC90*(AC$1-$AF90)^2</f>
        <v>1643.8701860769811</v>
      </c>
      <c r="BI90">
        <f>AD90*(AD$1-$AF90)^2</f>
        <v>1452.5789197225386</v>
      </c>
      <c r="BJ90">
        <f>AE90*(AE$1-$AF90)^2</f>
        <v>1690.2551998873414</v>
      </c>
      <c r="BK90">
        <f>SQRT(SUM(AG90:BJ90)/SUM(B90:AE90))</f>
        <v>4.7014380157658495</v>
      </c>
      <c r="BL90">
        <f>_xlfn.FLOOR.MATH((AF90-BK90)/5)</f>
        <v>2</v>
      </c>
    </row>
    <row r="91" spans="1:64">
      <c r="A91" t="s">
        <v>364</v>
      </c>
      <c r="B91">
        <v>0</v>
      </c>
      <c r="C91">
        <v>0</v>
      </c>
      <c r="D91">
        <v>22</v>
      </c>
      <c r="E91">
        <v>20</v>
      </c>
      <c r="F91">
        <v>56</v>
      </c>
      <c r="G91">
        <v>101</v>
      </c>
      <c r="H91">
        <v>137</v>
      </c>
      <c r="I91">
        <v>116</v>
      </c>
      <c r="J91">
        <v>112</v>
      </c>
      <c r="K91">
        <v>116</v>
      </c>
      <c r="L91">
        <v>131</v>
      </c>
      <c r="M91">
        <v>158</v>
      </c>
      <c r="N91">
        <v>159</v>
      </c>
      <c r="O91">
        <v>128</v>
      </c>
      <c r="P91">
        <v>141</v>
      </c>
      <c r="Q91">
        <v>129</v>
      </c>
      <c r="R91">
        <v>111</v>
      </c>
      <c r="S91">
        <v>114</v>
      </c>
      <c r="T91">
        <v>121</v>
      </c>
      <c r="U91">
        <v>97</v>
      </c>
      <c r="V91">
        <v>72</v>
      </c>
      <c r="W91">
        <v>70</v>
      </c>
      <c r="X91">
        <v>46</v>
      </c>
      <c r="Y91">
        <v>29</v>
      </c>
      <c r="Z91">
        <v>31</v>
      </c>
      <c r="AA91">
        <v>27</v>
      </c>
      <c r="AB91">
        <v>17</v>
      </c>
      <c r="AC91">
        <v>7</v>
      </c>
      <c r="AD91">
        <v>5</v>
      </c>
      <c r="AE91">
        <v>6</v>
      </c>
      <c r="AF91">
        <f>SUMPRODUCT($B$1:$AE$1,B91:AE91)/SUM(B91:AE91)</f>
        <v>13.998683633172444</v>
      </c>
      <c r="AG91">
        <f>B91*(B$1-$AF91)^2</f>
        <v>0</v>
      </c>
      <c r="AH91">
        <f>C91*(C$1-$AF91)^2</f>
        <v>0</v>
      </c>
      <c r="AI91">
        <f>D91*(D$1-$AF91)^2</f>
        <v>2661.3629165775387</v>
      </c>
      <c r="AJ91">
        <f>E91*(E$1-$AF91)^2</f>
        <v>1999.4734879254102</v>
      </c>
      <c r="AK91">
        <f>F91*(F$1-$AF91)^2</f>
        <v>4534.6731992758341</v>
      </c>
      <c r="AL91">
        <f>G91*(G$1-$AF91)^2</f>
        <v>6461.8729262216539</v>
      </c>
      <c r="AM91">
        <f>H91*(H$1-$AF91)^2</f>
        <v>6710.4754458213101</v>
      </c>
      <c r="AN91">
        <f>I91*(I$1-$AF91)^2</f>
        <v>4174.1678183833501</v>
      </c>
      <c r="AO91">
        <f>J91*(J$1-$AF91)^2</f>
        <v>2798.5258632291589</v>
      </c>
      <c r="AP91">
        <f>K91*(K$1-$AF91)^2</f>
        <v>1854.7786125913365</v>
      </c>
      <c r="AQ91">
        <f>L91*(L$1-$AF91)^2</f>
        <v>1177.965562673174</v>
      </c>
      <c r="AR91">
        <f>M91*(M$1-$AF91)^2</f>
        <v>631.16832995080131</v>
      </c>
      <c r="AS91">
        <f>N91*(N$1-$AF91)^2</f>
        <v>158.58167086747554</v>
      </c>
      <c r="AT91">
        <f>O91*(O$1-$AF91)^2</f>
        <v>2.2180116796029426E-4</v>
      </c>
      <c r="AU91">
        <f>P91*(P$1-$AF91)^2</f>
        <v>141.37145977321987</v>
      </c>
      <c r="AV91">
        <f>Q91*(Q$1-$AF91)^2</f>
        <v>516.67946881700846</v>
      </c>
      <c r="AW91">
        <f>R91*(R$1-$AF91)^2</f>
        <v>999.8768926503526</v>
      </c>
      <c r="AX91">
        <f>S91*(S$1-$AF91)^2</f>
        <v>1825.2007240883961</v>
      </c>
      <c r="AY91">
        <f>T91*(T$1-$AF91)^2</f>
        <v>3026.593013532759</v>
      </c>
      <c r="AZ91">
        <f>U91*(U$1-$AF91)^2</f>
        <v>3493.5324190709725</v>
      </c>
      <c r="BA91">
        <f>V91*(V$1-$AF91)^2</f>
        <v>3529.3270225253332</v>
      </c>
      <c r="BB91">
        <f>W91*(W$1-$AF91)^2</f>
        <v>4481.4744521443772</v>
      </c>
      <c r="BC91">
        <f>X91*(X$1-$AF91)^2</f>
        <v>3727.090031443011</v>
      </c>
      <c r="BD91">
        <f>Y91*(Y$1-$AF91)^2</f>
        <v>2900.7635430118098</v>
      </c>
      <c r="BE91">
        <f>Z91*(Z$1-$AF91)^2</f>
        <v>3751.8978158938635</v>
      </c>
      <c r="BF91">
        <f>AA91*(AA$1-$AF91)^2</f>
        <v>3888.8530524904404</v>
      </c>
      <c r="BG91">
        <f>AB91*(AB$1-$AF91)^2</f>
        <v>2873.5818635957476</v>
      </c>
      <c r="BH91">
        <f>AC91*(AC$1-$AF91)^2</f>
        <v>1372.2580200279522</v>
      </c>
      <c r="BI91">
        <f>AD91*(AD$1-$AF91)^2</f>
        <v>1125.1974636882417</v>
      </c>
      <c r="BJ91">
        <f>AE91*(AE$1-$AF91)^2</f>
        <v>1536.2527528278204</v>
      </c>
      <c r="BK91">
        <f>SQRT(SUM(AG91:BJ91)/SUM(B91:AE91))</f>
        <v>5.634509262147871</v>
      </c>
      <c r="BL91">
        <f>_xlfn.FLOOR.MATH((AF91-BK91)/5)</f>
        <v>1</v>
      </c>
    </row>
    <row r="92" spans="1:64">
      <c r="A92" t="s">
        <v>365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2</v>
      </c>
      <c r="Z92">
        <v>2</v>
      </c>
      <c r="AA92">
        <v>0</v>
      </c>
      <c r="AB92">
        <v>0</v>
      </c>
      <c r="AC92">
        <v>0</v>
      </c>
      <c r="AD92">
        <v>0</v>
      </c>
      <c r="AE92">
        <v>0</v>
      </c>
      <c r="AF92">
        <f>SUMPRODUCT($B$1:$AE$1,B92:AE92)/SUM(B92:AE92)</f>
        <v>24.5</v>
      </c>
      <c r="AG92">
        <f>B92*(B$1-$AF92)^2</f>
        <v>0</v>
      </c>
      <c r="AH92">
        <f>C92*(C$1-$AF92)^2</f>
        <v>0</v>
      </c>
      <c r="AI92">
        <f>D92*(D$1-$AF92)^2</f>
        <v>0</v>
      </c>
      <c r="AJ92">
        <f>E92*(E$1-$AF92)^2</f>
        <v>0</v>
      </c>
      <c r="AK92">
        <f>F92*(F$1-$AF92)^2</f>
        <v>0</v>
      </c>
      <c r="AL92">
        <f>G92*(G$1-$AF92)^2</f>
        <v>0</v>
      </c>
      <c r="AM92">
        <f>H92*(H$1-$AF92)^2</f>
        <v>0</v>
      </c>
      <c r="AN92">
        <f>I92*(I$1-$AF92)^2</f>
        <v>0</v>
      </c>
      <c r="AO92">
        <f>J92*(J$1-$AF92)^2</f>
        <v>0</v>
      </c>
      <c r="AP92">
        <f>K92*(K$1-$AF92)^2</f>
        <v>0</v>
      </c>
      <c r="AQ92">
        <f>L92*(L$1-$AF92)^2</f>
        <v>0</v>
      </c>
      <c r="AR92">
        <f>M92*(M$1-$AF92)^2</f>
        <v>0</v>
      </c>
      <c r="AS92">
        <f>N92*(N$1-$AF92)^2</f>
        <v>0</v>
      </c>
      <c r="AT92">
        <f>O92*(O$1-$AF92)^2</f>
        <v>0</v>
      </c>
      <c r="AU92">
        <f>P92*(P$1-$AF92)^2</f>
        <v>0</v>
      </c>
      <c r="AV92">
        <f>Q92*(Q$1-$AF92)^2</f>
        <v>0</v>
      </c>
      <c r="AW92">
        <f>R92*(R$1-$AF92)^2</f>
        <v>0</v>
      </c>
      <c r="AX92">
        <f>S92*(S$1-$AF92)^2</f>
        <v>0</v>
      </c>
      <c r="AY92">
        <f>T92*(T$1-$AF92)^2</f>
        <v>0</v>
      </c>
      <c r="AZ92">
        <f>U92*(U$1-$AF92)^2</f>
        <v>0</v>
      </c>
      <c r="BA92">
        <f>V92*(V$1-$AF92)^2</f>
        <v>0</v>
      </c>
      <c r="BB92">
        <f>W92*(W$1-$AF92)^2</f>
        <v>0</v>
      </c>
      <c r="BC92">
        <f>X92*(X$1-$AF92)^2</f>
        <v>0</v>
      </c>
      <c r="BD92">
        <f>Y92*(Y$1-$AF92)^2</f>
        <v>0.5</v>
      </c>
      <c r="BE92">
        <f>Z92*(Z$1-$AF92)^2</f>
        <v>0.5</v>
      </c>
      <c r="BF92">
        <f>AA92*(AA$1-$AF92)^2</f>
        <v>0</v>
      </c>
      <c r="BG92">
        <f>AB92*(AB$1-$AF92)^2</f>
        <v>0</v>
      </c>
      <c r="BH92">
        <f>AC92*(AC$1-$AF92)^2</f>
        <v>0</v>
      </c>
      <c r="BI92">
        <f>AD92*(AD$1-$AF92)^2</f>
        <v>0</v>
      </c>
      <c r="BJ92">
        <f>AE92*(AE$1-$AF92)^2</f>
        <v>0</v>
      </c>
      <c r="BK92">
        <f>SQRT(SUM(AG92:BJ92)/SUM(B92:AE92))</f>
        <v>0.5</v>
      </c>
      <c r="BL92">
        <f>_xlfn.FLOOR.MATH((AF92-BK92)/5)</f>
        <v>4</v>
      </c>
    </row>
    <row r="93" spans="1:64">
      <c r="A93" t="s">
        <v>366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1</v>
      </c>
      <c r="AC93">
        <v>1</v>
      </c>
      <c r="AD93">
        <v>0</v>
      </c>
      <c r="AE93">
        <v>0</v>
      </c>
      <c r="AF93">
        <f>SUMPRODUCT($B$1:$AE$1,B93:AE93)/SUM(B93:AE93)</f>
        <v>27.5</v>
      </c>
      <c r="AG93">
        <f>B93*(B$1-$AF93)^2</f>
        <v>0</v>
      </c>
      <c r="AH93">
        <f>C93*(C$1-$AF93)^2</f>
        <v>0</v>
      </c>
      <c r="AI93">
        <f>D93*(D$1-$AF93)^2</f>
        <v>0</v>
      </c>
      <c r="AJ93">
        <f>E93*(E$1-$AF93)^2</f>
        <v>0</v>
      </c>
      <c r="AK93">
        <f>F93*(F$1-$AF93)^2</f>
        <v>0</v>
      </c>
      <c r="AL93">
        <f>G93*(G$1-$AF93)^2</f>
        <v>0</v>
      </c>
      <c r="AM93">
        <f>H93*(H$1-$AF93)^2</f>
        <v>0</v>
      </c>
      <c r="AN93">
        <f>I93*(I$1-$AF93)^2</f>
        <v>0</v>
      </c>
      <c r="AO93">
        <f>J93*(J$1-$AF93)^2</f>
        <v>0</v>
      </c>
      <c r="AP93">
        <f>K93*(K$1-$AF93)^2</f>
        <v>0</v>
      </c>
      <c r="AQ93">
        <f>L93*(L$1-$AF93)^2</f>
        <v>0</v>
      </c>
      <c r="AR93">
        <f>M93*(M$1-$AF93)^2</f>
        <v>0</v>
      </c>
      <c r="AS93">
        <f>N93*(N$1-$AF93)^2</f>
        <v>0</v>
      </c>
      <c r="AT93">
        <f>O93*(O$1-$AF93)^2</f>
        <v>0</v>
      </c>
      <c r="AU93">
        <f>P93*(P$1-$AF93)^2</f>
        <v>0</v>
      </c>
      <c r="AV93">
        <f>Q93*(Q$1-$AF93)^2</f>
        <v>0</v>
      </c>
      <c r="AW93">
        <f>R93*(R$1-$AF93)^2</f>
        <v>0</v>
      </c>
      <c r="AX93">
        <f>S93*(S$1-$AF93)^2</f>
        <v>0</v>
      </c>
      <c r="AY93">
        <f>T93*(T$1-$AF93)^2</f>
        <v>0</v>
      </c>
      <c r="AZ93">
        <f>U93*(U$1-$AF93)^2</f>
        <v>0</v>
      </c>
      <c r="BA93">
        <f>V93*(V$1-$AF93)^2</f>
        <v>0</v>
      </c>
      <c r="BB93">
        <f>W93*(W$1-$AF93)^2</f>
        <v>0</v>
      </c>
      <c r="BC93">
        <f>X93*(X$1-$AF93)^2</f>
        <v>0</v>
      </c>
      <c r="BD93">
        <f>Y93*(Y$1-$AF93)^2</f>
        <v>0</v>
      </c>
      <c r="BE93">
        <f>Z93*(Z$1-$AF93)^2</f>
        <v>0</v>
      </c>
      <c r="BF93">
        <f>AA93*(AA$1-$AF93)^2</f>
        <v>0</v>
      </c>
      <c r="BG93">
        <f>AB93*(AB$1-$AF93)^2</f>
        <v>0.25</v>
      </c>
      <c r="BH93">
        <f>AC93*(AC$1-$AF93)^2</f>
        <v>0.25</v>
      </c>
      <c r="BI93">
        <f>AD93*(AD$1-$AF93)^2</f>
        <v>0</v>
      </c>
      <c r="BJ93">
        <f>AE93*(AE$1-$AF93)^2</f>
        <v>0</v>
      </c>
      <c r="BK93">
        <f>SQRT(SUM(AG93:BJ93)/SUM(B93:AE93))</f>
        <v>0.5</v>
      </c>
      <c r="BL93">
        <f>_xlfn.FLOOR.MATH((AF93-BK93)/5)</f>
        <v>5</v>
      </c>
    </row>
    <row r="94" spans="1:64">
      <c r="A94" t="s">
        <v>367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</v>
      </c>
      <c r="W94">
        <v>8</v>
      </c>
      <c r="X94">
        <v>10</v>
      </c>
      <c r="Y94">
        <v>1</v>
      </c>
      <c r="Z94">
        <v>4</v>
      </c>
      <c r="AA94">
        <v>1</v>
      </c>
      <c r="AB94">
        <v>0</v>
      </c>
      <c r="AC94">
        <v>0</v>
      </c>
      <c r="AD94">
        <v>0</v>
      </c>
      <c r="AE94">
        <v>0</v>
      </c>
      <c r="AF94">
        <f>SUMPRODUCT($B$1:$AE$1,B94:AE94)/SUM(B94:AE94)</f>
        <v>23</v>
      </c>
      <c r="AG94">
        <f>B94*(B$1-$AF94)^2</f>
        <v>0</v>
      </c>
      <c r="AH94">
        <f>C94*(C$1-$AF94)^2</f>
        <v>0</v>
      </c>
      <c r="AI94">
        <f>D94*(D$1-$AF94)^2</f>
        <v>0</v>
      </c>
      <c r="AJ94">
        <f>E94*(E$1-$AF94)^2</f>
        <v>0</v>
      </c>
      <c r="AK94">
        <f>F94*(F$1-$AF94)^2</f>
        <v>0</v>
      </c>
      <c r="AL94">
        <f>G94*(G$1-$AF94)^2</f>
        <v>0</v>
      </c>
      <c r="AM94">
        <f>H94*(H$1-$AF94)^2</f>
        <v>0</v>
      </c>
      <c r="AN94">
        <f>I94*(I$1-$AF94)^2</f>
        <v>0</v>
      </c>
      <c r="AO94">
        <f>J94*(J$1-$AF94)^2</f>
        <v>0</v>
      </c>
      <c r="AP94">
        <f>K94*(K$1-$AF94)^2</f>
        <v>0</v>
      </c>
      <c r="AQ94">
        <f>L94*(L$1-$AF94)^2</f>
        <v>0</v>
      </c>
      <c r="AR94">
        <f>M94*(M$1-$AF94)^2</f>
        <v>0</v>
      </c>
      <c r="AS94">
        <f>N94*(N$1-$AF94)^2</f>
        <v>0</v>
      </c>
      <c r="AT94">
        <f>O94*(O$1-$AF94)^2</f>
        <v>0</v>
      </c>
      <c r="AU94">
        <f>P94*(P$1-$AF94)^2</f>
        <v>0</v>
      </c>
      <c r="AV94">
        <f>Q94*(Q$1-$AF94)^2</f>
        <v>0</v>
      </c>
      <c r="AW94">
        <f>R94*(R$1-$AF94)^2</f>
        <v>0</v>
      </c>
      <c r="AX94">
        <f>S94*(S$1-$AF94)^2</f>
        <v>0</v>
      </c>
      <c r="AY94">
        <f>T94*(T$1-$AF94)^2</f>
        <v>0</v>
      </c>
      <c r="AZ94">
        <f>U94*(U$1-$AF94)^2</f>
        <v>0</v>
      </c>
      <c r="BA94">
        <f>V94*(V$1-$AF94)^2</f>
        <v>8</v>
      </c>
      <c r="BB94">
        <f>W94*(W$1-$AF94)^2</f>
        <v>8</v>
      </c>
      <c r="BC94">
        <f>X94*(X$1-$AF94)^2</f>
        <v>0</v>
      </c>
      <c r="BD94">
        <f>Y94*(Y$1-$AF94)^2</f>
        <v>1</v>
      </c>
      <c r="BE94">
        <f>Z94*(Z$1-$AF94)^2</f>
        <v>16</v>
      </c>
      <c r="BF94">
        <f>AA94*(AA$1-$AF94)^2</f>
        <v>9</v>
      </c>
      <c r="BG94">
        <f>AB94*(AB$1-$AF94)^2</f>
        <v>0</v>
      </c>
      <c r="BH94">
        <f>AC94*(AC$1-$AF94)^2</f>
        <v>0</v>
      </c>
      <c r="BI94">
        <f>AD94*(AD$1-$AF94)^2</f>
        <v>0</v>
      </c>
      <c r="BJ94">
        <f>AE94*(AE$1-$AF94)^2</f>
        <v>0</v>
      </c>
      <c r="BK94">
        <f>SQRT(SUM(AG94:BJ94)/SUM(B94:AE94))</f>
        <v>1.2709778186044851</v>
      </c>
      <c r="BL94">
        <f>_xlfn.FLOOR.MATH((AF94-BK94)/5)</f>
        <v>4</v>
      </c>
    </row>
    <row r="95" spans="1:64">
      <c r="A95" t="s">
        <v>368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1</v>
      </c>
      <c r="U95">
        <v>2</v>
      </c>
      <c r="V95">
        <v>0</v>
      </c>
      <c r="W95">
        <v>2</v>
      </c>
      <c r="X95">
        <v>4</v>
      </c>
      <c r="Y95">
        <v>1</v>
      </c>
      <c r="Z95">
        <v>3</v>
      </c>
      <c r="AA95">
        <v>1</v>
      </c>
      <c r="AB95">
        <v>4</v>
      </c>
      <c r="AC95">
        <v>0</v>
      </c>
      <c r="AD95">
        <v>0</v>
      </c>
      <c r="AE95">
        <v>0</v>
      </c>
      <c r="AF95">
        <f>SUMPRODUCT($B$1:$AE$1,B95:AE95)/SUM(B95:AE95)</f>
        <v>23.473684210526315</v>
      </c>
      <c r="AG95">
        <f>B95*(B$1-$AF95)^2</f>
        <v>0</v>
      </c>
      <c r="AH95">
        <f>C95*(C$1-$AF95)^2</f>
        <v>0</v>
      </c>
      <c r="AI95">
        <f>D95*(D$1-$AF95)^2</f>
        <v>0</v>
      </c>
      <c r="AJ95">
        <f>E95*(E$1-$AF95)^2</f>
        <v>0</v>
      </c>
      <c r="AK95">
        <f>F95*(F$1-$AF95)^2</f>
        <v>0</v>
      </c>
      <c r="AL95">
        <f>G95*(G$1-$AF95)^2</f>
        <v>0</v>
      </c>
      <c r="AM95">
        <f>H95*(H$1-$AF95)^2</f>
        <v>0</v>
      </c>
      <c r="AN95">
        <f>I95*(I$1-$AF95)^2</f>
        <v>0</v>
      </c>
      <c r="AO95">
        <f>J95*(J$1-$AF95)^2</f>
        <v>0</v>
      </c>
      <c r="AP95">
        <f>K95*(K$1-$AF95)^2</f>
        <v>0</v>
      </c>
      <c r="AQ95">
        <f>L95*(L$1-$AF95)^2</f>
        <v>0</v>
      </c>
      <c r="AR95">
        <f>M95*(M$1-$AF95)^2</f>
        <v>0</v>
      </c>
      <c r="AS95">
        <f>N95*(N$1-$AF95)^2</f>
        <v>0</v>
      </c>
      <c r="AT95">
        <f>O95*(O$1-$AF95)^2</f>
        <v>0</v>
      </c>
      <c r="AU95">
        <f>P95*(P$1-$AF95)^2</f>
        <v>0</v>
      </c>
      <c r="AV95">
        <f>Q95*(Q$1-$AF95)^2</f>
        <v>0</v>
      </c>
      <c r="AW95">
        <f>R95*(R$1-$AF95)^2</f>
        <v>0</v>
      </c>
      <c r="AX95">
        <f>S95*(S$1-$AF95)^2</f>
        <v>29.961218836565088</v>
      </c>
      <c r="AY95">
        <f>T95*(T$1-$AF95)^2</f>
        <v>20.013850415512458</v>
      </c>
      <c r="AZ95">
        <f>U95*(U$1-$AF95)^2</f>
        <v>24.132963988919656</v>
      </c>
      <c r="BA95">
        <f>V95*(V$1-$AF95)^2</f>
        <v>0</v>
      </c>
      <c r="BB95">
        <f>W95*(W$1-$AF95)^2</f>
        <v>4.3434903047091371</v>
      </c>
      <c r="BC95">
        <f>X95*(X$1-$AF95)^2</f>
        <v>0.89750692520775344</v>
      </c>
      <c r="BD95">
        <f>Y95*(Y$1-$AF95)^2</f>
        <v>0.27700831024930828</v>
      </c>
      <c r="BE95">
        <f>Z95*(Z$1-$AF95)^2</f>
        <v>6.9889196675900349</v>
      </c>
      <c r="BF95">
        <f>AA95*(AA$1-$AF95)^2</f>
        <v>6.3822714681440482</v>
      </c>
      <c r="BG95">
        <f>AB95*(AB$1-$AF95)^2</f>
        <v>49.739612188365669</v>
      </c>
      <c r="BH95">
        <f>AC95*(AC$1-$AF95)^2</f>
        <v>0</v>
      </c>
      <c r="BI95">
        <f>AD95*(AD$1-$AF95)^2</f>
        <v>0</v>
      </c>
      <c r="BJ95">
        <f>AE95*(AE$1-$AF95)^2</f>
        <v>0</v>
      </c>
      <c r="BK95">
        <f>SQRT(SUM(AG95:BJ95)/SUM(B95:AE95))</f>
        <v>2.7408876981666395</v>
      </c>
      <c r="BL95">
        <f>_xlfn.FLOOR.MATH((AF95-BK95)/5)</f>
        <v>4</v>
      </c>
    </row>
    <row r="96" spans="1:64">
      <c r="A96" t="s">
        <v>369</v>
      </c>
      <c r="B96">
        <v>0</v>
      </c>
      <c r="C96">
        <v>0</v>
      </c>
      <c r="D96">
        <v>0</v>
      </c>
      <c r="E96">
        <v>7</v>
      </c>
      <c r="F96">
        <v>18</v>
      </c>
      <c r="G96">
        <v>46</v>
      </c>
      <c r="H96">
        <v>82</v>
      </c>
      <c r="I96">
        <v>56</v>
      </c>
      <c r="J96">
        <v>38</v>
      </c>
      <c r="K96">
        <v>40</v>
      </c>
      <c r="L96">
        <v>36</v>
      </c>
      <c r="M96">
        <v>48</v>
      </c>
      <c r="N96">
        <v>35</v>
      </c>
      <c r="O96">
        <v>33</v>
      </c>
      <c r="P96">
        <v>23</v>
      </c>
      <c r="Q96">
        <v>18</v>
      </c>
      <c r="R96">
        <v>19</v>
      </c>
      <c r="S96">
        <v>8</v>
      </c>
      <c r="T96">
        <v>9</v>
      </c>
      <c r="U96">
        <v>8</v>
      </c>
      <c r="V96">
        <v>4</v>
      </c>
      <c r="W96">
        <v>11</v>
      </c>
      <c r="X96">
        <v>5</v>
      </c>
      <c r="Y96">
        <v>3</v>
      </c>
      <c r="Z96">
        <v>4</v>
      </c>
      <c r="AA96">
        <v>2</v>
      </c>
      <c r="AB96">
        <v>1</v>
      </c>
      <c r="AC96">
        <v>0</v>
      </c>
      <c r="AD96">
        <v>0</v>
      </c>
      <c r="AE96">
        <v>0</v>
      </c>
      <c r="AF96">
        <f>SUMPRODUCT($B$1:$AE$1,B96:AE96)/SUM(B96:AE96)</f>
        <v>11.137184115523466</v>
      </c>
      <c r="AG96">
        <f>B96*(B$1-$AF96)^2</f>
        <v>0</v>
      </c>
      <c r="AH96">
        <f>C96*(C$1-$AF96)^2</f>
        <v>0</v>
      </c>
      <c r="AI96">
        <f>D96*(D$1-$AF96)^2</f>
        <v>0</v>
      </c>
      <c r="AJ96">
        <f>E96*(E$1-$AF96)^2</f>
        <v>356.57577969216334</v>
      </c>
      <c r="AK96">
        <f>F96*(F$1-$AF96)^2</f>
        <v>677.97051962100386</v>
      </c>
      <c r="AL96">
        <f>G96*(G$1-$AF96)^2</f>
        <v>1213.9703892921841</v>
      </c>
      <c r="AM96">
        <f>H96*(H$1-$AF96)^2</f>
        <v>1403.5359772706538</v>
      </c>
      <c r="AN96">
        <f>I96*(I$1-$AF96)^2</f>
        <v>551.1477537827941</v>
      </c>
      <c r="AO96">
        <f>J96*(J$1-$AF96)^2</f>
        <v>173.56712585854112</v>
      </c>
      <c r="AP96">
        <f>K96*(K$1-$AF96)^2</f>
        <v>51.727508503955491</v>
      </c>
      <c r="AQ96">
        <f>L96*(L$1-$AF96)^2</f>
        <v>0.67750133587040273</v>
      </c>
      <c r="AR96">
        <f>M96*(M$1-$AF96)^2</f>
        <v>35.733660024241146</v>
      </c>
      <c r="AS96">
        <f>N96*(N$1-$AF96)^2</f>
        <v>121.45290568103323</v>
      </c>
      <c r="AT96">
        <f>O96*(O$1-$AF96)^2</f>
        <v>270.45858801756833</v>
      </c>
      <c r="AU96">
        <f>P96*(P$1-$AF96)^2</f>
        <v>343.1909708193773</v>
      </c>
      <c r="AV96">
        <f>Q96*(Q$1-$AF96)^2</f>
        <v>425.64560987371135</v>
      </c>
      <c r="AW96">
        <f>R96*(R$1-$AF96)^2</f>
        <v>653.079591810137</v>
      </c>
      <c r="AX96">
        <f>S96*(S$1-$AF96)^2</f>
        <v>376.78593491378746</v>
      </c>
      <c r="AY96">
        <f>T96*(T$1-$AF96)^2</f>
        <v>556.41486269858854</v>
      </c>
      <c r="AZ96">
        <f>U96*(U$1-$AF96)^2</f>
        <v>628.39604321703655</v>
      </c>
      <c r="BA96">
        <f>V96*(V$1-$AF96)^2</f>
        <v>389.10054868433053</v>
      </c>
      <c r="BB96">
        <f>W96*(W$1-$AF96)^2</f>
        <v>1298.0084583403927</v>
      </c>
      <c r="BC96">
        <f>X96*(X$1-$AF96)^2</f>
        <v>703.63200354494381</v>
      </c>
      <c r="BD96">
        <f>Y96*(Y$1-$AF96)^2</f>
        <v>496.35609743382554</v>
      </c>
      <c r="BE96">
        <f>Z96*(Z$1-$AF96)^2</f>
        <v>768.71065698757968</v>
      </c>
      <c r="BF96">
        <f>AA96*(AA$1-$AF96)^2</f>
        <v>441.80659203169597</v>
      </c>
      <c r="BG96">
        <f>AB96*(AB$1-$AF96)^2</f>
        <v>251.62892778480105</v>
      </c>
      <c r="BH96">
        <f>AC96*(AC$1-$AF96)^2</f>
        <v>0</v>
      </c>
      <c r="BI96">
        <f>AD96*(AD$1-$AF96)^2</f>
        <v>0</v>
      </c>
      <c r="BJ96">
        <f>AE96*(AE$1-$AF96)^2</f>
        <v>0</v>
      </c>
      <c r="BK96">
        <f>SQRT(SUM(AG96:BJ96)/SUM(B96:AE96))</f>
        <v>4.6907186196005766</v>
      </c>
      <c r="BL96">
        <f>_xlfn.FLOOR.MATH((AF96-BK96)/5)</f>
        <v>1</v>
      </c>
    </row>
    <row r="97" spans="1:64">
      <c r="A97" t="s">
        <v>370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1</v>
      </c>
      <c r="K97">
        <v>1</v>
      </c>
      <c r="L97">
        <v>2</v>
      </c>
      <c r="M97">
        <v>0</v>
      </c>
      <c r="N97">
        <v>1</v>
      </c>
      <c r="O97">
        <v>3</v>
      </c>
      <c r="P97">
        <v>6</v>
      </c>
      <c r="Q97">
        <v>9</v>
      </c>
      <c r="R97">
        <v>7</v>
      </c>
      <c r="S97">
        <v>20</v>
      </c>
      <c r="T97">
        <v>28</v>
      </c>
      <c r="U97">
        <v>12</v>
      </c>
      <c r="V97">
        <v>14</v>
      </c>
      <c r="W97">
        <v>17</v>
      </c>
      <c r="X97">
        <v>10</v>
      </c>
      <c r="Y97">
        <v>8</v>
      </c>
      <c r="Z97">
        <v>8</v>
      </c>
      <c r="AA97">
        <v>5</v>
      </c>
      <c r="AB97">
        <v>0</v>
      </c>
      <c r="AC97">
        <v>1</v>
      </c>
      <c r="AD97">
        <v>0</v>
      </c>
      <c r="AE97">
        <v>1</v>
      </c>
      <c r="AF97">
        <f>SUMPRODUCT($B$1:$AE$1,B97:AE97)/SUM(B97:AE97)</f>
        <v>19.761290322580646</v>
      </c>
      <c r="AG97">
        <f>B97*(B$1-$AF97)^2</f>
        <v>0</v>
      </c>
      <c r="AH97">
        <f>C97*(C$1-$AF97)^2</f>
        <v>0</v>
      </c>
      <c r="AI97">
        <f>D97*(D$1-$AF97)^2</f>
        <v>0</v>
      </c>
      <c r="AJ97">
        <f>E97*(E$1-$AF97)^2</f>
        <v>248.4182726326743</v>
      </c>
      <c r="AK97">
        <f>F97*(F$1-$AF97)^2</f>
        <v>0</v>
      </c>
      <c r="AL97">
        <f>G97*(G$1-$AF97)^2</f>
        <v>0</v>
      </c>
      <c r="AM97">
        <f>H97*(H$1-$AF97)^2</f>
        <v>0</v>
      </c>
      <c r="AN97">
        <f>I97*(I$1-$AF97)^2</f>
        <v>0</v>
      </c>
      <c r="AO97">
        <f>J97*(J$1-$AF97)^2</f>
        <v>115.80536940686785</v>
      </c>
      <c r="AP97">
        <f>K97*(K$1-$AF97)^2</f>
        <v>95.28278876170657</v>
      </c>
      <c r="AQ97">
        <f>L97*(L$1-$AF97)^2</f>
        <v>153.52041623309054</v>
      </c>
      <c r="AR97">
        <f>M97*(M$1-$AF97)^2</f>
        <v>0</v>
      </c>
      <c r="AS97">
        <f>N97*(N$1-$AF97)^2</f>
        <v>45.715046826222689</v>
      </c>
      <c r="AT97">
        <f>O97*(O$1-$AF97)^2</f>
        <v>99.577398543184188</v>
      </c>
      <c r="AU97">
        <f>P97*(P$1-$AF97)^2</f>
        <v>136.01931321540064</v>
      </c>
      <c r="AV97">
        <f>Q97*(Q$1-$AF97)^2</f>
        <v>127.32574401664934</v>
      </c>
      <c r="AW97">
        <f>R97*(R$1-$AF97)^2</f>
        <v>53.373069719042682</v>
      </c>
      <c r="AX97">
        <f>S97*(S$1-$AF97)^2</f>
        <v>62.042872008324686</v>
      </c>
      <c r="AY97">
        <f>T97*(T$1-$AF97)^2</f>
        <v>16.227762747138414</v>
      </c>
      <c r="AZ97">
        <f>U97*(U$1-$AF97)^2</f>
        <v>0.68378772112382713</v>
      </c>
      <c r="BA97">
        <f>V97*(V$1-$AF97)^2</f>
        <v>21.481623309053056</v>
      </c>
      <c r="BB97">
        <f>W97*(W$1-$AF97)^2</f>
        <v>85.200957336108203</v>
      </c>
      <c r="BC97">
        <f>X97*(X$1-$AF97)^2</f>
        <v>104.89240374609778</v>
      </c>
      <c r="BD97">
        <f>Y97*(Y$1-$AF97)^2</f>
        <v>143.7332778355879</v>
      </c>
      <c r="BE97">
        <f>Z97*(Z$1-$AF97)^2</f>
        <v>219.55263267429757</v>
      </c>
      <c r="BF97">
        <f>AA97*(AA$1-$AF97)^2</f>
        <v>194.60749219562953</v>
      </c>
      <c r="BG97">
        <f>AB97*(AB$1-$AF97)^2</f>
        <v>0</v>
      </c>
      <c r="BH97">
        <f>AC97*(AC$1-$AF97)^2</f>
        <v>67.87633714880333</v>
      </c>
      <c r="BI97">
        <f>AD97*(AD$1-$AF97)^2</f>
        <v>0</v>
      </c>
      <c r="BJ97">
        <f>AE97*(AE$1-$AF97)^2</f>
        <v>104.83117585848075</v>
      </c>
      <c r="BK97">
        <f>SQRT(SUM(AG97:BJ97)/SUM(B97:AE97))</f>
        <v>3.6774533105393288</v>
      </c>
      <c r="BL97">
        <f>_xlfn.FLOOR.MATH((AF97-BK97)/5)</f>
        <v>3</v>
      </c>
    </row>
    <row r="98" spans="1:64">
      <c r="A98" t="s">
        <v>371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1</v>
      </c>
      <c r="I98">
        <v>3</v>
      </c>
      <c r="J98">
        <v>0</v>
      </c>
      <c r="K98">
        <v>0</v>
      </c>
      <c r="L98">
        <v>0</v>
      </c>
      <c r="M98">
        <v>2</v>
      </c>
      <c r="N98">
        <v>1</v>
      </c>
      <c r="O98">
        <v>3</v>
      </c>
      <c r="P98">
        <v>3</v>
      </c>
      <c r="Q98">
        <v>5</v>
      </c>
      <c r="R98">
        <v>4</v>
      </c>
      <c r="S98">
        <v>5</v>
      </c>
      <c r="T98">
        <v>5</v>
      </c>
      <c r="U98">
        <v>12</v>
      </c>
      <c r="V98">
        <v>14</v>
      </c>
      <c r="W98">
        <v>2</v>
      </c>
      <c r="X98">
        <v>3</v>
      </c>
      <c r="Y98">
        <v>3</v>
      </c>
      <c r="Z98">
        <v>4</v>
      </c>
      <c r="AA98">
        <v>4</v>
      </c>
      <c r="AB98">
        <v>1</v>
      </c>
      <c r="AC98">
        <v>1</v>
      </c>
      <c r="AD98">
        <v>0</v>
      </c>
      <c r="AE98">
        <v>2</v>
      </c>
      <c r="AF98">
        <f>SUMPRODUCT($B$1:$AE$1,B98:AE98)/SUM(B98:AE98)</f>
        <v>19.367088607594937</v>
      </c>
      <c r="AG98">
        <f>B98*(B$1-$AF98)^2</f>
        <v>0</v>
      </c>
      <c r="AH98">
        <f>C98*(C$1-$AF98)^2</f>
        <v>0</v>
      </c>
      <c r="AI98">
        <f>D98*(D$1-$AF98)^2</f>
        <v>0</v>
      </c>
      <c r="AJ98">
        <f>E98*(E$1-$AF98)^2</f>
        <v>236.14741227367409</v>
      </c>
      <c r="AK98">
        <f>F98*(F$1-$AF98)^2</f>
        <v>0</v>
      </c>
      <c r="AL98">
        <f>G98*(G$1-$AF98)^2</f>
        <v>0</v>
      </c>
      <c r="AM98">
        <f>H98*(H$1-$AF98)^2</f>
        <v>152.94488062810447</v>
      </c>
      <c r="AN98">
        <f>I98*(I$1-$AF98)^2</f>
        <v>387.63211023874379</v>
      </c>
      <c r="AO98">
        <f>J98*(J$1-$AF98)^2</f>
        <v>0</v>
      </c>
      <c r="AP98">
        <f>K98*(K$1-$AF98)^2</f>
        <v>0</v>
      </c>
      <c r="AQ98">
        <f>L98*(L$1-$AF98)^2</f>
        <v>0</v>
      </c>
      <c r="AR98">
        <f>M98*(M$1-$AF98)^2</f>
        <v>108.54798910431022</v>
      </c>
      <c r="AS98">
        <f>N98*(N$1-$AF98)^2</f>
        <v>40.539817336965235</v>
      </c>
      <c r="AT98">
        <f>O98*(O$1-$AF98)^2</f>
        <v>86.416920365326078</v>
      </c>
      <c r="AU98">
        <f>P98*(P$1-$AF98)^2</f>
        <v>57.214388719756457</v>
      </c>
      <c r="AV98">
        <f>Q98*(Q$1-$AF98)^2</f>
        <v>56.686428456978049</v>
      </c>
      <c r="AW98">
        <f>R98*(R$1-$AF98)^2</f>
        <v>22.412433904822947</v>
      </c>
      <c r="AX98">
        <f>S98*(S$1-$AF98)^2</f>
        <v>9.344656305079317</v>
      </c>
      <c r="AY98">
        <f>T98*(T$1-$AF98)^2</f>
        <v>0.67377022912994766</v>
      </c>
      <c r="AZ98">
        <f>U98*(U$1-$AF98)^2</f>
        <v>4.8069219676333894</v>
      </c>
      <c r="BA98">
        <f>V98*(V$1-$AF98)^2</f>
        <v>37.329594616247391</v>
      </c>
      <c r="BB98">
        <f>W98*(W$1-$AF98)^2</f>
        <v>13.864444800512736</v>
      </c>
      <c r="BC98">
        <f>X98*(X$1-$AF98)^2</f>
        <v>39.594135555199486</v>
      </c>
      <c r="BD98">
        <f>Y98*(Y$1-$AF98)^2</f>
        <v>64.391603909629865</v>
      </c>
      <c r="BE98">
        <f>Z98*(Z$1-$AF98)^2</f>
        <v>126.91876301874699</v>
      </c>
      <c r="BF98">
        <f>AA98*(AA$1-$AF98)^2</f>
        <v>175.98205415798751</v>
      </c>
      <c r="BG98">
        <f>AB98*(AB$1-$AF98)^2</f>
        <v>58.261336324307003</v>
      </c>
      <c r="BH98">
        <f>AC98*(AC$1-$AF98)^2</f>
        <v>74.527159109117122</v>
      </c>
      <c r="BI98">
        <f>AD98*(AD$1-$AF98)^2</f>
        <v>0</v>
      </c>
      <c r="BJ98">
        <f>AE98*(AE$1-$AF98)^2</f>
        <v>226.11760935747475</v>
      </c>
      <c r="BK98">
        <f>SQRT(SUM(AG98:BJ98)/SUM(B98:AE98))</f>
        <v>5.0067731723879429</v>
      </c>
      <c r="BL98">
        <f>_xlfn.FLOOR.MATH((AF98-BK98)/5)</f>
        <v>2</v>
      </c>
    </row>
    <row r="99" spans="1:64">
      <c r="A99" t="s">
        <v>372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4</v>
      </c>
      <c r="AA99">
        <v>0</v>
      </c>
      <c r="AB99">
        <v>1</v>
      </c>
      <c r="AC99">
        <v>0</v>
      </c>
      <c r="AD99">
        <v>0</v>
      </c>
      <c r="AE99">
        <v>0</v>
      </c>
      <c r="AF99">
        <f>SUMPRODUCT($B$1:$AE$1,B99:AE99)/SUM(B99:AE99)</f>
        <v>25.4</v>
      </c>
      <c r="AG99">
        <f>B99*(B$1-$AF99)^2</f>
        <v>0</v>
      </c>
      <c r="AH99">
        <f>C99*(C$1-$AF99)^2</f>
        <v>0</v>
      </c>
      <c r="AI99">
        <f>D99*(D$1-$AF99)^2</f>
        <v>0</v>
      </c>
      <c r="AJ99">
        <f>E99*(E$1-$AF99)^2</f>
        <v>0</v>
      </c>
      <c r="AK99">
        <f>F99*(F$1-$AF99)^2</f>
        <v>0</v>
      </c>
      <c r="AL99">
        <f>G99*(G$1-$AF99)^2</f>
        <v>0</v>
      </c>
      <c r="AM99">
        <f>H99*(H$1-$AF99)^2</f>
        <v>0</v>
      </c>
      <c r="AN99">
        <f>I99*(I$1-$AF99)^2</f>
        <v>0</v>
      </c>
      <c r="AO99">
        <f>J99*(J$1-$AF99)^2</f>
        <v>0</v>
      </c>
      <c r="AP99">
        <f>K99*(K$1-$AF99)^2</f>
        <v>0</v>
      </c>
      <c r="AQ99">
        <f>L99*(L$1-$AF99)^2</f>
        <v>0</v>
      </c>
      <c r="AR99">
        <f>M99*(M$1-$AF99)^2</f>
        <v>0</v>
      </c>
      <c r="AS99">
        <f>N99*(N$1-$AF99)^2</f>
        <v>0</v>
      </c>
      <c r="AT99">
        <f>O99*(O$1-$AF99)^2</f>
        <v>0</v>
      </c>
      <c r="AU99">
        <f>P99*(P$1-$AF99)^2</f>
        <v>0</v>
      </c>
      <c r="AV99">
        <f>Q99*(Q$1-$AF99)^2</f>
        <v>0</v>
      </c>
      <c r="AW99">
        <f>R99*(R$1-$AF99)^2</f>
        <v>0</v>
      </c>
      <c r="AX99">
        <f>S99*(S$1-$AF99)^2</f>
        <v>0</v>
      </c>
      <c r="AY99">
        <f>T99*(T$1-$AF99)^2</f>
        <v>0</v>
      </c>
      <c r="AZ99">
        <f>U99*(U$1-$AF99)^2</f>
        <v>0</v>
      </c>
      <c r="BA99">
        <f>V99*(V$1-$AF99)^2</f>
        <v>0</v>
      </c>
      <c r="BB99">
        <f>W99*(W$1-$AF99)^2</f>
        <v>0</v>
      </c>
      <c r="BC99">
        <f>X99*(X$1-$AF99)^2</f>
        <v>0</v>
      </c>
      <c r="BD99">
        <f>Y99*(Y$1-$AF99)^2</f>
        <v>0</v>
      </c>
      <c r="BE99">
        <f>Z99*(Z$1-$AF99)^2</f>
        <v>0.63999999999999546</v>
      </c>
      <c r="BF99">
        <f>AA99*(AA$1-$AF99)^2</f>
        <v>0</v>
      </c>
      <c r="BG99">
        <f>AB99*(AB$1-$AF99)^2</f>
        <v>2.5600000000000045</v>
      </c>
      <c r="BH99">
        <f>AC99*(AC$1-$AF99)^2</f>
        <v>0</v>
      </c>
      <c r="BI99">
        <f>AD99*(AD$1-$AF99)^2</f>
        <v>0</v>
      </c>
      <c r="BJ99">
        <f>AE99*(AE$1-$AF99)^2</f>
        <v>0</v>
      </c>
      <c r="BK99">
        <f>SQRT(SUM(AG99:BJ99)/SUM(B99:AE99))</f>
        <v>0.8</v>
      </c>
      <c r="BL99">
        <f>_xlfn.FLOOR.MATH((AF99-BK99)/5)</f>
        <v>4</v>
      </c>
    </row>
    <row r="100" spans="1:64">
      <c r="A100" t="s">
        <v>373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1</v>
      </c>
      <c r="U100">
        <v>12</v>
      </c>
      <c r="V100">
        <v>12</v>
      </c>
      <c r="W100">
        <v>10</v>
      </c>
      <c r="X100">
        <v>11</v>
      </c>
      <c r="Y100">
        <v>5</v>
      </c>
      <c r="Z100">
        <v>5</v>
      </c>
      <c r="AA100">
        <v>10</v>
      </c>
      <c r="AB100">
        <v>3</v>
      </c>
      <c r="AC100">
        <v>4</v>
      </c>
      <c r="AD100">
        <v>1</v>
      </c>
      <c r="AE100">
        <v>0</v>
      </c>
      <c r="AF100">
        <f>SUMPRODUCT($B$1:$AE$1,B100:AE100)/SUM(B100:AE100)</f>
        <v>22.986842105263158</v>
      </c>
      <c r="AG100">
        <f>B100*(B$1-$AF100)^2</f>
        <v>0</v>
      </c>
      <c r="AH100">
        <f>C100*(C$1-$AF100)^2</f>
        <v>0</v>
      </c>
      <c r="AI100">
        <f>D100*(D$1-$AF100)^2</f>
        <v>0</v>
      </c>
      <c r="AJ100">
        <f>E100*(E$1-$AF100)^2</f>
        <v>0</v>
      </c>
      <c r="AK100">
        <f>F100*(F$1-$AF100)^2</f>
        <v>0</v>
      </c>
      <c r="AL100">
        <f>G100*(G$1-$AF100)^2</f>
        <v>0</v>
      </c>
      <c r="AM100">
        <f>H100*(H$1-$AF100)^2</f>
        <v>0</v>
      </c>
      <c r="AN100">
        <f>I100*(I$1-$AF100)^2</f>
        <v>0</v>
      </c>
      <c r="AO100">
        <f>J100*(J$1-$AF100)^2</f>
        <v>0</v>
      </c>
      <c r="AP100">
        <f>K100*(K$1-$AF100)^2</f>
        <v>0</v>
      </c>
      <c r="AQ100">
        <f>L100*(L$1-$AF100)^2</f>
        <v>0</v>
      </c>
      <c r="AR100">
        <f>M100*(M$1-$AF100)^2</f>
        <v>0</v>
      </c>
      <c r="AS100">
        <f>N100*(N$1-$AF100)^2</f>
        <v>0</v>
      </c>
      <c r="AT100">
        <f>O100*(O$1-$AF100)^2</f>
        <v>0</v>
      </c>
      <c r="AU100">
        <f>P100*(P$1-$AF100)^2</f>
        <v>0</v>
      </c>
      <c r="AV100">
        <f>Q100*(Q$1-$AF100)^2</f>
        <v>0</v>
      </c>
      <c r="AW100">
        <f>R100*(R$1-$AF100)^2</f>
        <v>0</v>
      </c>
      <c r="AX100">
        <f>S100*(S$1-$AF100)^2</f>
        <v>49.737188365650965</v>
      </c>
      <c r="AY100">
        <f>T100*(T$1-$AF100)^2</f>
        <v>15.894909972299166</v>
      </c>
      <c r="AZ100">
        <f>U100*(U$1-$AF100)^2</f>
        <v>107.0547091412742</v>
      </c>
      <c r="BA100">
        <f>V100*(V$1-$AF100)^2</f>
        <v>47.370498614958429</v>
      </c>
      <c r="BB100">
        <f>W100*(W$1-$AF100)^2</f>
        <v>9.7385734072022085</v>
      </c>
      <c r="BC100">
        <f>X100*(X$1-$AF100)^2</f>
        <v>1.9044321329640972E-3</v>
      </c>
      <c r="BD100">
        <f>Y100*(Y$1-$AF100)^2</f>
        <v>5.1324445983379539</v>
      </c>
      <c r="BE100">
        <f>Z100*(Z$1-$AF100)^2</f>
        <v>20.26402354570638</v>
      </c>
      <c r="BF100">
        <f>AA100*(AA$1-$AF100)^2</f>
        <v>90.791204986149609</v>
      </c>
      <c r="BG100">
        <f>AB100*(AB$1-$AF100)^2</f>
        <v>48.316308864265942</v>
      </c>
      <c r="BH100">
        <f>AC100*(AC$1-$AF100)^2</f>
        <v>100.52700831024933</v>
      </c>
      <c r="BI100">
        <f>AD100*(AD$1-$AF100)^2</f>
        <v>36.158067867036017</v>
      </c>
      <c r="BJ100">
        <f>AE100*(AE$1-$AF100)^2</f>
        <v>0</v>
      </c>
      <c r="BK100">
        <f>SQRT(SUM(AG100:BJ100)/SUM(B100:AE100))</f>
        <v>2.6432307835429829</v>
      </c>
      <c r="BL100">
        <f>_xlfn.FLOOR.MATH((AF100-BK100)/5)</f>
        <v>4</v>
      </c>
    </row>
    <row r="101" spans="1:64">
      <c r="A101" t="s">
        <v>374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2</v>
      </c>
      <c r="U101">
        <v>2</v>
      </c>
      <c r="V101">
        <v>1</v>
      </c>
      <c r="W101">
        <v>9</v>
      </c>
      <c r="X101">
        <v>3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0</v>
      </c>
      <c r="AE101">
        <v>0</v>
      </c>
      <c r="AF101">
        <f>SUMPRODUCT($B$1:$AE$1,B101:AE101)/SUM(B101:AE101)</f>
        <v>21.1</v>
      </c>
      <c r="AG101">
        <f>B101*(B$1-$AF101)^2</f>
        <v>0</v>
      </c>
      <c r="AH101">
        <f>C101*(C$1-$AF101)^2</f>
        <v>0</v>
      </c>
      <c r="AI101">
        <f>D101*(D$1-$AF101)^2</f>
        <v>0</v>
      </c>
      <c r="AJ101">
        <f>E101*(E$1-$AF101)^2</f>
        <v>0</v>
      </c>
      <c r="AK101">
        <f>F101*(F$1-$AF101)^2</f>
        <v>0</v>
      </c>
      <c r="AL101">
        <f>G101*(G$1-$AF101)^2</f>
        <v>0</v>
      </c>
      <c r="AM101">
        <f>H101*(H$1-$AF101)^2</f>
        <v>0</v>
      </c>
      <c r="AN101">
        <f>I101*(I$1-$AF101)^2</f>
        <v>0</v>
      </c>
      <c r="AO101">
        <f>J101*(J$1-$AF101)^2</f>
        <v>0</v>
      </c>
      <c r="AP101">
        <f>K101*(K$1-$AF101)^2</f>
        <v>0</v>
      </c>
      <c r="AQ101">
        <f>L101*(L$1-$AF101)^2</f>
        <v>0</v>
      </c>
      <c r="AR101">
        <f>M101*(M$1-$AF101)^2</f>
        <v>82.810000000000031</v>
      </c>
      <c r="AS101">
        <f>N101*(N$1-$AF101)^2</f>
        <v>0</v>
      </c>
      <c r="AT101">
        <f>O101*(O$1-$AF101)^2</f>
        <v>0</v>
      </c>
      <c r="AU101">
        <f>P101*(P$1-$AF101)^2</f>
        <v>0</v>
      </c>
      <c r="AV101">
        <f>Q101*(Q$1-$AF101)^2</f>
        <v>0</v>
      </c>
      <c r="AW101">
        <f>R101*(R$1-$AF101)^2</f>
        <v>0</v>
      </c>
      <c r="AX101">
        <f>S101*(S$1-$AF101)^2</f>
        <v>9.6100000000000083</v>
      </c>
      <c r="AY101">
        <f>T101*(T$1-$AF101)^2</f>
        <v>8.8200000000000127</v>
      </c>
      <c r="AZ101">
        <f>U101*(U$1-$AF101)^2</f>
        <v>2.4200000000000061</v>
      </c>
      <c r="BA101">
        <f>V101*(V$1-$AF101)^2</f>
        <v>1.0000000000000285E-2</v>
      </c>
      <c r="BB101">
        <f>W101*(W$1-$AF101)^2</f>
        <v>7.2899999999999761</v>
      </c>
      <c r="BC101">
        <f>X101*(X$1-$AF101)^2</f>
        <v>10.829999999999984</v>
      </c>
      <c r="BD101">
        <f>Y101*(Y$1-$AF101)^2</f>
        <v>0</v>
      </c>
      <c r="BE101">
        <f>Z101*(Z$1-$AF101)^2</f>
        <v>0</v>
      </c>
      <c r="BF101">
        <f>AA101*(AA$1-$AF101)^2</f>
        <v>24.009999999999987</v>
      </c>
      <c r="BG101">
        <f>AB101*(AB$1-$AF101)^2</f>
        <v>0</v>
      </c>
      <c r="BH101">
        <f>AC101*(AC$1-$AF101)^2</f>
        <v>0</v>
      </c>
      <c r="BI101">
        <f>AD101*(AD$1-$AF101)^2</f>
        <v>0</v>
      </c>
      <c r="BJ101">
        <f>AE101*(AE$1-$AF101)^2</f>
        <v>0</v>
      </c>
      <c r="BK101">
        <f>SQRT(SUM(AG101:BJ101)/SUM(B101:AE101))</f>
        <v>2.7</v>
      </c>
      <c r="BL101">
        <f>_xlfn.FLOOR.MATH((AF101-BK101)/5)</f>
        <v>3</v>
      </c>
    </row>
    <row r="102" spans="1:64">
      <c r="A102" t="s">
        <v>375</v>
      </c>
      <c r="B102">
        <v>107</v>
      </c>
      <c r="C102">
        <v>176</v>
      </c>
      <c r="D102">
        <v>480</v>
      </c>
      <c r="E102">
        <v>669</v>
      </c>
      <c r="F102">
        <v>502</v>
      </c>
      <c r="G102">
        <v>409</v>
      </c>
      <c r="H102">
        <v>330</v>
      </c>
      <c r="I102">
        <v>322</v>
      </c>
      <c r="J102">
        <v>221</v>
      </c>
      <c r="K102">
        <v>205</v>
      </c>
      <c r="L102">
        <v>192</v>
      </c>
      <c r="M102">
        <v>179</v>
      </c>
      <c r="N102">
        <v>149</v>
      </c>
      <c r="O102">
        <v>139</v>
      </c>
      <c r="P102">
        <v>113</v>
      </c>
      <c r="Q102">
        <v>127</v>
      </c>
      <c r="R102">
        <v>113</v>
      </c>
      <c r="S102">
        <v>99</v>
      </c>
      <c r="T102">
        <v>82</v>
      </c>
      <c r="U102">
        <v>55</v>
      </c>
      <c r="V102">
        <v>53</v>
      </c>
      <c r="W102">
        <v>47</v>
      </c>
      <c r="X102">
        <v>49</v>
      </c>
      <c r="Y102">
        <v>38</v>
      </c>
      <c r="Z102">
        <v>37</v>
      </c>
      <c r="AA102">
        <v>30</v>
      </c>
      <c r="AB102">
        <v>12</v>
      </c>
      <c r="AC102">
        <v>12</v>
      </c>
      <c r="AD102">
        <v>9</v>
      </c>
      <c r="AE102">
        <v>10</v>
      </c>
      <c r="AF102">
        <f>SUMPRODUCT($B$1:$AE$1,B102:AE102)/SUM(B102:AE102)</f>
        <v>8.8213854208618603</v>
      </c>
      <c r="AG102">
        <f>B102*(B$1-$AF102)^2</f>
        <v>6545.6254794787392</v>
      </c>
      <c r="AH102">
        <f>C102*(C$1-$AF102)^2</f>
        <v>8189.5086345506261</v>
      </c>
      <c r="AI102">
        <f>D102*(D$1-$AF102)^2</f>
        <v>16266.493544747047</v>
      </c>
      <c r="AJ102">
        <f>E102*(E$1-$AF102)^2</f>
        <v>15551.41168487803</v>
      </c>
      <c r="AK102">
        <f>F102*(F$1-$AF102)^2</f>
        <v>7330.6992404573393</v>
      </c>
      <c r="AL102">
        <f>G102*(G$1-$AF102)^2</f>
        <v>3255.7282184582095</v>
      </c>
      <c r="AM102">
        <f>H102*(H$1-$AF102)^2</f>
        <v>1094.7568009382849</v>
      </c>
      <c r="AN102">
        <f>I102*(I$1-$AF102)^2</f>
        <v>217.24503109262176</v>
      </c>
      <c r="AO102">
        <f>J102*(J$1-$AF102)^2</f>
        <v>7.0506001016335453</v>
      </c>
      <c r="AP102">
        <f>K102*(K$1-$AF102)^2</f>
        <v>284.77212686217968</v>
      </c>
      <c r="AQ102">
        <f>L102*(L$1-$AF102)^2</f>
        <v>911.30140501118467</v>
      </c>
      <c r="AR102">
        <f>M102*(M$1-$AF102)^2</f>
        <v>1808.5427250450064</v>
      </c>
      <c r="AS102">
        <f>N102*(N$1-$AF102)^2</f>
        <v>2601.6621503468864</v>
      </c>
      <c r="AT102">
        <f>O102*(O$1-$AF102)^2</f>
        <v>3727.7088053374309</v>
      </c>
      <c r="AU102">
        <f>P102*(P$1-$AF102)^2</f>
        <v>4313.8064272818356</v>
      </c>
      <c r="AV102">
        <f>Q102*(Q$1-$AF102)^2</f>
        <v>6544.6284240284604</v>
      </c>
      <c r="AW102">
        <f>R102*(R$1-$AF102)^2</f>
        <v>7558.5402170522757</v>
      </c>
      <c r="AX102">
        <f>S102*(S$1-$AF102)^2</f>
        <v>8340.4495936443527</v>
      </c>
      <c r="AY102">
        <f>T102*(T$1-$AF102)^2</f>
        <v>8495.5439695527657</v>
      </c>
      <c r="AZ102">
        <f>U102*(U$1-$AF102)^2</f>
        <v>6872.8783149905876</v>
      </c>
      <c r="BA102">
        <f>V102*(V$1-$AF102)^2</f>
        <v>7860.8886125613899</v>
      </c>
      <c r="BB102">
        <f>W102*(W$1-$AF102)^2</f>
        <v>8162.766464597199</v>
      </c>
      <c r="BC102">
        <f>X102*(X$1-$AF102)^2</f>
        <v>9850.6224578036818</v>
      </c>
      <c r="BD102">
        <f>Y102*(Y$1-$AF102)^2</f>
        <v>8754.8329405969453</v>
      </c>
      <c r="BE102">
        <f>Z102*(Z$1-$AF102)^2</f>
        <v>9684.6600789111435</v>
      </c>
      <c r="BF102">
        <f>AA102*(AA$1-$AF102)^2</f>
        <v>8853.1439657573246</v>
      </c>
      <c r="BG102">
        <f>AB102*(AB$1-$AF102)^2</f>
        <v>3965.5443362022452</v>
      </c>
      <c r="BH102">
        <f>AC102*(AC$1-$AF102)^2</f>
        <v>4413.8310861015607</v>
      </c>
      <c r="BI102">
        <f>AD102*(AD$1-$AF102)^2</f>
        <v>3664.5883770006571</v>
      </c>
      <c r="BJ102">
        <f>AE102*(AE$1-$AF102)^2</f>
        <v>4485.337154916826</v>
      </c>
      <c r="BK102">
        <f>SQRT(SUM(AG102:BJ102)/SUM(B102:AE102))</f>
        <v>6.0140553734981781</v>
      </c>
      <c r="BL102">
        <f>_xlfn.FLOOR.MATH((AF102-BK102)/5)</f>
        <v>0</v>
      </c>
    </row>
    <row r="103" spans="1:64">
      <c r="A103" t="s">
        <v>376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0</v>
      </c>
      <c r="J103">
        <v>1</v>
      </c>
      <c r="K103">
        <v>3</v>
      </c>
      <c r="L103">
        <v>0</v>
      </c>
      <c r="M103">
        <v>1</v>
      </c>
      <c r="N103">
        <v>4</v>
      </c>
      <c r="O103">
        <v>7</v>
      </c>
      <c r="P103">
        <v>4</v>
      </c>
      <c r="Q103">
        <v>9</v>
      </c>
      <c r="R103">
        <v>15</v>
      </c>
      <c r="S103">
        <v>15</v>
      </c>
      <c r="T103">
        <v>16</v>
      </c>
      <c r="U103">
        <v>11</v>
      </c>
      <c r="V103">
        <v>19</v>
      </c>
      <c r="W103">
        <v>11</v>
      </c>
      <c r="X103">
        <v>10</v>
      </c>
      <c r="Y103">
        <v>5</v>
      </c>
      <c r="Z103">
        <v>5</v>
      </c>
      <c r="AA103">
        <v>4</v>
      </c>
      <c r="AB103">
        <v>5</v>
      </c>
      <c r="AC103">
        <v>1</v>
      </c>
      <c r="AD103">
        <v>0</v>
      </c>
      <c r="AE103">
        <v>0</v>
      </c>
      <c r="AF103">
        <f>SUMPRODUCT($B$1:$AE$1,B103:AE103)/SUM(B103:AE103)</f>
        <v>19.161073825503355</v>
      </c>
      <c r="AG103">
        <f>B103*(B$1-$AF103)^2</f>
        <v>0</v>
      </c>
      <c r="AH103">
        <f>C103*(C$1-$AF103)^2</f>
        <v>0</v>
      </c>
      <c r="AI103">
        <f>D103*(D$1-$AF103)^2</f>
        <v>0</v>
      </c>
      <c r="AJ103">
        <f>E103*(E$1-$AF103)^2</f>
        <v>0</v>
      </c>
      <c r="AK103">
        <f>F103*(F$1-$AF103)^2</f>
        <v>200.53601189135622</v>
      </c>
      <c r="AL103">
        <f>G103*(G$1-$AF103)^2</f>
        <v>173.21386424034949</v>
      </c>
      <c r="AM103">
        <f>H103*(H$1-$AF103)^2</f>
        <v>147.89171658934279</v>
      </c>
      <c r="AN103">
        <f>I103*(I$1-$AF103)^2</f>
        <v>0</v>
      </c>
      <c r="AO103">
        <f>J103*(J$1-$AF103)^2</f>
        <v>103.24742128732937</v>
      </c>
      <c r="AP103">
        <f>K103*(K$1-$AF103)^2</f>
        <v>251.775820908968</v>
      </c>
      <c r="AQ103">
        <f>L103*(L$1-$AF103)^2</f>
        <v>0</v>
      </c>
      <c r="AR103">
        <f>M103*(M$1-$AF103)^2</f>
        <v>51.280978334309246</v>
      </c>
      <c r="AS103">
        <f>N103*(N$1-$AF103)^2</f>
        <v>151.83532273321015</v>
      </c>
      <c r="AT103">
        <f>O103*(O$1-$AF103)^2</f>
        <v>186.45678122607083</v>
      </c>
      <c r="AU103">
        <f>P103*(P$1-$AF103)^2</f>
        <v>69.258141525156489</v>
      </c>
      <c r="AV103">
        <f>Q103*(Q$1-$AF103)^2</f>
        <v>89.931489572541722</v>
      </c>
      <c r="AW103">
        <f>R103*(R$1-$AF103)^2</f>
        <v>70.053601189135549</v>
      </c>
      <c r="AX103">
        <f>S103*(S$1-$AF103)^2</f>
        <v>20.221386424034915</v>
      </c>
      <c r="AY103">
        <f>T103*(T$1-$AF103)^2</f>
        <v>0.41511643619656197</v>
      </c>
      <c r="AZ103">
        <f>U103*(U$1-$AF103)^2</f>
        <v>7.7417683888113356</v>
      </c>
      <c r="BA103">
        <f>V103*(V$1-$AF103)^2</f>
        <v>64.251340029728468</v>
      </c>
      <c r="BB103">
        <f>W103*(W$1-$AF103)^2</f>
        <v>88.654520066663736</v>
      </c>
      <c r="BC103">
        <f>X103*(X$1-$AF103)^2</f>
        <v>147.37354173235448</v>
      </c>
      <c r="BD103">
        <f>Y103*(Y$1-$AF103)^2</f>
        <v>117.0760326111437</v>
      </c>
      <c r="BE103">
        <f>Z103*(Z$1-$AF103)^2</f>
        <v>170.46529435611012</v>
      </c>
      <c r="BF103">
        <f>AA103*(AA$1-$AF103)^2</f>
        <v>187.08364488086127</v>
      </c>
      <c r="BG103">
        <f>AB103*(AB$1-$AF103)^2</f>
        <v>307.24381784604304</v>
      </c>
      <c r="BH103">
        <f>AC103*(AC$1-$AF103)^2</f>
        <v>78.126615918201907</v>
      </c>
      <c r="BI103">
        <f>AD103*(AD$1-$AF103)^2</f>
        <v>0</v>
      </c>
      <c r="BJ103">
        <f>AE103*(AE$1-$AF103)^2</f>
        <v>0</v>
      </c>
      <c r="BK103">
        <f>SQRT(SUM(AG103:BJ103)/SUM(B103:AE103))</f>
        <v>4.2443284132019707</v>
      </c>
      <c r="BL103">
        <f>_xlfn.FLOOR.MATH((AF103-BK103)/5)</f>
        <v>2</v>
      </c>
    </row>
    <row r="104" spans="1:64">
      <c r="A104" t="s">
        <v>377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5</v>
      </c>
      <c r="X104">
        <v>2</v>
      </c>
      <c r="Y104">
        <v>3</v>
      </c>
      <c r="Z104">
        <v>1</v>
      </c>
      <c r="AA104">
        <v>0</v>
      </c>
      <c r="AB104">
        <v>0</v>
      </c>
      <c r="AC104">
        <v>1</v>
      </c>
      <c r="AD104">
        <v>0</v>
      </c>
      <c r="AE104">
        <v>0</v>
      </c>
      <c r="AF104">
        <f>SUMPRODUCT($B$1:$AE$1,B104:AE104)/SUM(B104:AE104)</f>
        <v>23.416666666666668</v>
      </c>
      <c r="AG104">
        <f>B104*(B$1-$AF104)^2</f>
        <v>0</v>
      </c>
      <c r="AH104">
        <f>C104*(C$1-$AF104)^2</f>
        <v>0</v>
      </c>
      <c r="AI104">
        <f>D104*(D$1-$AF104)^2</f>
        <v>0</v>
      </c>
      <c r="AJ104">
        <f>E104*(E$1-$AF104)^2</f>
        <v>0</v>
      </c>
      <c r="AK104">
        <f>F104*(F$1-$AF104)^2</f>
        <v>0</v>
      </c>
      <c r="AL104">
        <f>G104*(G$1-$AF104)^2</f>
        <v>0</v>
      </c>
      <c r="AM104">
        <f>H104*(H$1-$AF104)^2</f>
        <v>0</v>
      </c>
      <c r="AN104">
        <f>I104*(I$1-$AF104)^2</f>
        <v>0</v>
      </c>
      <c r="AO104">
        <f>J104*(J$1-$AF104)^2</f>
        <v>0</v>
      </c>
      <c r="AP104">
        <f>K104*(K$1-$AF104)^2</f>
        <v>0</v>
      </c>
      <c r="AQ104">
        <f>L104*(L$1-$AF104)^2</f>
        <v>0</v>
      </c>
      <c r="AR104">
        <f>M104*(M$1-$AF104)^2</f>
        <v>0</v>
      </c>
      <c r="AS104">
        <f>N104*(N$1-$AF104)^2</f>
        <v>0</v>
      </c>
      <c r="AT104">
        <f>O104*(O$1-$AF104)^2</f>
        <v>0</v>
      </c>
      <c r="AU104">
        <f>P104*(P$1-$AF104)^2</f>
        <v>0</v>
      </c>
      <c r="AV104">
        <f>Q104*(Q$1-$AF104)^2</f>
        <v>0</v>
      </c>
      <c r="AW104">
        <f>R104*(R$1-$AF104)^2</f>
        <v>0</v>
      </c>
      <c r="AX104">
        <f>S104*(S$1-$AF104)^2</f>
        <v>0</v>
      </c>
      <c r="AY104">
        <f>T104*(T$1-$AF104)^2</f>
        <v>0</v>
      </c>
      <c r="AZ104">
        <f>U104*(U$1-$AF104)^2</f>
        <v>0</v>
      </c>
      <c r="BA104">
        <f>V104*(V$1-$AF104)^2</f>
        <v>0</v>
      </c>
      <c r="BB104">
        <f>W104*(W$1-$AF104)^2</f>
        <v>10.034722222222239</v>
      </c>
      <c r="BC104">
        <f>X104*(X$1-$AF104)^2</f>
        <v>0.34722222222222421</v>
      </c>
      <c r="BD104">
        <f>Y104*(Y$1-$AF104)^2</f>
        <v>1.0208333333333293</v>
      </c>
      <c r="BE104">
        <f>Z104*(Z$1-$AF104)^2</f>
        <v>2.5069444444444406</v>
      </c>
      <c r="BF104">
        <f>AA104*(AA$1-$AF104)^2</f>
        <v>0</v>
      </c>
      <c r="BG104">
        <f>AB104*(AB$1-$AF104)^2</f>
        <v>0</v>
      </c>
      <c r="BH104">
        <f>AC104*(AC$1-$AF104)^2</f>
        <v>21.006944444444432</v>
      </c>
      <c r="BI104">
        <f>AD104*(AD$1-$AF104)^2</f>
        <v>0</v>
      </c>
      <c r="BJ104">
        <f>AE104*(AE$1-$AF104)^2</f>
        <v>0</v>
      </c>
      <c r="BK104">
        <f>SQRT(SUM(AG104:BJ104)/SUM(B104:AE104))</f>
        <v>1.7057907908715599</v>
      </c>
      <c r="BL104">
        <f>_xlfn.FLOOR.MATH((AF104-BK104)/5)</f>
        <v>4</v>
      </c>
    </row>
    <row r="105" spans="1:64">
      <c r="A105" t="s">
        <v>378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12</v>
      </c>
      <c r="R105">
        <v>15</v>
      </c>
      <c r="S105">
        <v>5</v>
      </c>
      <c r="T105">
        <v>14</v>
      </c>
      <c r="U105">
        <v>8</v>
      </c>
      <c r="V105">
        <v>7</v>
      </c>
      <c r="W105">
        <v>2</v>
      </c>
      <c r="X105">
        <v>12</v>
      </c>
      <c r="Y105">
        <v>0</v>
      </c>
      <c r="Z105">
        <v>1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f>SUMPRODUCT($B$1:$AE$1,B105:AE105)/SUM(B105:AE105)</f>
        <v>18.935897435897434</v>
      </c>
      <c r="AG105">
        <f>B105*(B$1-$AF105)^2</f>
        <v>0</v>
      </c>
      <c r="AH105">
        <f>C105*(C$1-$AF105)^2</f>
        <v>0</v>
      </c>
      <c r="AI105">
        <f>D105*(D$1-$AF105)^2</f>
        <v>0</v>
      </c>
      <c r="AJ105">
        <f>E105*(E$1-$AF105)^2</f>
        <v>0</v>
      </c>
      <c r="AK105">
        <f>F105*(F$1-$AF105)^2</f>
        <v>0</v>
      </c>
      <c r="AL105">
        <f>G105*(G$1-$AF105)^2</f>
        <v>0</v>
      </c>
      <c r="AM105">
        <f>H105*(H$1-$AF105)^2</f>
        <v>0</v>
      </c>
      <c r="AN105">
        <f>I105*(I$1-$AF105)^2</f>
        <v>0</v>
      </c>
      <c r="AO105">
        <f>J105*(J$1-$AF105)^2</f>
        <v>98.722057856673217</v>
      </c>
      <c r="AP105">
        <f>K105*(K$1-$AF105)^2</f>
        <v>0</v>
      </c>
      <c r="AQ105">
        <f>L105*(L$1-$AF105)^2</f>
        <v>0</v>
      </c>
      <c r="AR105">
        <f>M105*(M$1-$AF105)^2</f>
        <v>0</v>
      </c>
      <c r="AS105">
        <f>N105*(N$1-$AF105)^2</f>
        <v>35.234878369493735</v>
      </c>
      <c r="AT105">
        <f>O105*(O$1-$AF105)^2</f>
        <v>0</v>
      </c>
      <c r="AU105">
        <f>P105*(P$1-$AF105)^2</f>
        <v>0</v>
      </c>
      <c r="AV105">
        <f>Q105*(Q$1-$AF105)^2</f>
        <v>103.43392504930955</v>
      </c>
      <c r="AW105">
        <f>R105*(R$1-$AF105)^2</f>
        <v>56.215483234713915</v>
      </c>
      <c r="AX105">
        <f>S105*(S$1-$AF105)^2</f>
        <v>4.3795200525969609</v>
      </c>
      <c r="AY105">
        <f>T105*(T$1-$AF105)^2</f>
        <v>5.7527942143329541E-2</v>
      </c>
      <c r="AZ105">
        <f>U105*(U$1-$AF105)^2</f>
        <v>9.0585141354372389</v>
      </c>
      <c r="BA105">
        <f>V105*(V$1-$AF105)^2</f>
        <v>29.8236357659435</v>
      </c>
      <c r="BB105">
        <f>W105*(W$1-$AF105)^2</f>
        <v>18.777449046679834</v>
      </c>
      <c r="BC105">
        <f>X105*(X$1-$AF105)^2</f>
        <v>198.20315581854058</v>
      </c>
      <c r="BD105">
        <f>Y105*(Y$1-$AF105)^2</f>
        <v>0</v>
      </c>
      <c r="BE105">
        <f>Z105*(Z$1-$AF105)^2</f>
        <v>36.773339907955311</v>
      </c>
      <c r="BF105">
        <f>AA105*(AA$1-$AF105)^2</f>
        <v>0</v>
      </c>
      <c r="BG105">
        <f>AB105*(AB$1-$AF105)^2</f>
        <v>0</v>
      </c>
      <c r="BH105">
        <f>AC105*(AC$1-$AF105)^2</f>
        <v>0</v>
      </c>
      <c r="BI105">
        <f>AD105*(AD$1-$AF105)^2</f>
        <v>0</v>
      </c>
      <c r="BJ105">
        <f>AE105*(AE$1-$AF105)^2</f>
        <v>0</v>
      </c>
      <c r="BK105">
        <f>SQRT(SUM(AG105:BJ105)/SUM(B105:AE105))</f>
        <v>2.7518746225434314</v>
      </c>
      <c r="BL105">
        <f>_xlfn.FLOOR.MATH((AF105-BK105)/5)</f>
        <v>3</v>
      </c>
    </row>
    <row r="106" spans="1:64">
      <c r="A106" t="s">
        <v>379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J106">
        <v>4</v>
      </c>
      <c r="K106">
        <v>3</v>
      </c>
      <c r="L106">
        <v>27</v>
      </c>
      <c r="M106">
        <v>23</v>
      </c>
      <c r="N106">
        <v>30</v>
      </c>
      <c r="O106">
        <v>18</v>
      </c>
      <c r="P106">
        <v>19</v>
      </c>
      <c r="Q106">
        <v>21</v>
      </c>
      <c r="R106">
        <v>20</v>
      </c>
      <c r="S106">
        <v>8</v>
      </c>
      <c r="T106">
        <v>14</v>
      </c>
      <c r="U106">
        <v>8</v>
      </c>
      <c r="V106">
        <v>4</v>
      </c>
      <c r="W106">
        <v>8</v>
      </c>
      <c r="X106">
        <v>4</v>
      </c>
      <c r="Y106">
        <v>4</v>
      </c>
      <c r="Z106">
        <v>2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f>SUMPRODUCT($B$1:$AE$1,B106:AE106)/SUM(B106:AE106)</f>
        <v>15.322727272727272</v>
      </c>
      <c r="AG106">
        <f>B106*(B$1-$AF106)^2</f>
        <v>0</v>
      </c>
      <c r="AH106">
        <f>C106*(C$1-$AF106)^2</f>
        <v>0</v>
      </c>
      <c r="AI106">
        <f>D106*(D$1-$AF106)^2</f>
        <v>0</v>
      </c>
      <c r="AJ106">
        <f>E106*(E$1-$AF106)^2</f>
        <v>0</v>
      </c>
      <c r="AK106">
        <f>F106*(F$1-$AF106)^2</f>
        <v>0</v>
      </c>
      <c r="AL106">
        <f>G106*(G$1-$AF106)^2</f>
        <v>0</v>
      </c>
      <c r="AM106">
        <f>H106*(H$1-$AF106)^2</f>
        <v>0</v>
      </c>
      <c r="AN106">
        <f>I106*(I$1-$AF106)^2</f>
        <v>53.622334710743793</v>
      </c>
      <c r="AO106">
        <f>J106*(J$1-$AF106)^2</f>
        <v>159.90752066115701</v>
      </c>
      <c r="AP106">
        <f>K106*(K$1-$AF106)^2</f>
        <v>84.994276859504126</v>
      </c>
      <c r="AQ106">
        <f>L106*(L$1-$AF106)^2</f>
        <v>504.52121900826438</v>
      </c>
      <c r="AR106">
        <f>M106*(M$1-$AF106)^2</f>
        <v>253.93188016528919</v>
      </c>
      <c r="AS106">
        <f>N106*(N$1-$AF106)^2</f>
        <v>161.85185950413219</v>
      </c>
      <c r="AT106">
        <f>O106*(O$1-$AF106)^2</f>
        <v>31.4929338842975</v>
      </c>
      <c r="AU106">
        <f>P106*(P$1-$AF106)^2</f>
        <v>1.978904958677681</v>
      </c>
      <c r="AV106">
        <f>Q106*(Q$1-$AF106)^2</f>
        <v>9.6326652892562095</v>
      </c>
      <c r="AW106">
        <f>R106*(R$1-$AF106)^2</f>
        <v>56.264876033057874</v>
      </c>
      <c r="AX106">
        <f>S106*(S$1-$AF106)^2</f>
        <v>57.342314049586797</v>
      </c>
      <c r="AY106">
        <f>T106*(T$1-$AF106)^2</f>
        <v>189.31268595041325</v>
      </c>
      <c r="AZ106">
        <f>U106*(U$1-$AF106)^2</f>
        <v>175.01504132231409</v>
      </c>
      <c r="BA106">
        <f>V106*(V$1-$AF106)^2</f>
        <v>128.92570247933887</v>
      </c>
      <c r="BB106">
        <f>W106*(W$1-$AF106)^2</f>
        <v>356.68776859504135</v>
      </c>
      <c r="BC106">
        <f>X106*(X$1-$AF106)^2</f>
        <v>235.76206611570251</v>
      </c>
      <c r="BD106">
        <f>Y106*(Y$1-$AF106)^2</f>
        <v>301.18024793388435</v>
      </c>
      <c r="BE106">
        <f>Z106*(Z$1-$AF106)^2</f>
        <v>187.29921487603306</v>
      </c>
      <c r="BF106">
        <f>AA106*(AA$1-$AF106)^2</f>
        <v>114.00415289256199</v>
      </c>
      <c r="BG106">
        <f>AB106*(AB$1-$AF106)^2</f>
        <v>136.35869834710743</v>
      </c>
      <c r="BH106">
        <f>AC106*(AC$1-$AF106)^2</f>
        <v>0</v>
      </c>
      <c r="BI106">
        <f>AD106*(AD$1-$AF106)^2</f>
        <v>0</v>
      </c>
      <c r="BJ106">
        <f>AE106*(AE$1-$AF106)^2</f>
        <v>0</v>
      </c>
      <c r="BK106">
        <f>SQRT(SUM(AG106:BJ106)/SUM(B106:AE106))</f>
        <v>3.8139018219453442</v>
      </c>
      <c r="BL106">
        <f>_xlfn.FLOOR.MATH((AF106-BK106)/5)</f>
        <v>2</v>
      </c>
    </row>
    <row r="107" spans="1:64">
      <c r="A107" t="s">
        <v>380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V107">
        <v>1</v>
      </c>
      <c r="W107">
        <v>1</v>
      </c>
      <c r="X107">
        <v>0</v>
      </c>
      <c r="Y107">
        <v>0</v>
      </c>
      <c r="Z107">
        <v>0</v>
      </c>
      <c r="AA107">
        <v>2</v>
      </c>
      <c r="AB107">
        <v>0</v>
      </c>
      <c r="AC107">
        <v>0</v>
      </c>
      <c r="AD107">
        <v>0</v>
      </c>
      <c r="AE107">
        <v>0</v>
      </c>
      <c r="AF107">
        <f>SUMPRODUCT($B$1:$AE$1,B107:AE107)/SUM(B107:AE107)</f>
        <v>22.8</v>
      </c>
      <c r="AG107">
        <f>B107*(B$1-$AF107)^2</f>
        <v>0</v>
      </c>
      <c r="AH107">
        <f>C107*(C$1-$AF107)^2</f>
        <v>0</v>
      </c>
      <c r="AI107">
        <f>D107*(D$1-$AF107)^2</f>
        <v>0</v>
      </c>
      <c r="AJ107">
        <f>E107*(E$1-$AF107)^2</f>
        <v>0</v>
      </c>
      <c r="AK107">
        <f>F107*(F$1-$AF107)^2</f>
        <v>0</v>
      </c>
      <c r="AL107">
        <f>G107*(G$1-$AF107)^2</f>
        <v>0</v>
      </c>
      <c r="AM107">
        <f>H107*(H$1-$AF107)^2</f>
        <v>0</v>
      </c>
      <c r="AN107">
        <f>I107*(I$1-$AF107)^2</f>
        <v>0</v>
      </c>
      <c r="AO107">
        <f>J107*(J$1-$AF107)^2</f>
        <v>0</v>
      </c>
      <c r="AP107">
        <f>K107*(K$1-$AF107)^2</f>
        <v>0</v>
      </c>
      <c r="AQ107">
        <f>L107*(L$1-$AF107)^2</f>
        <v>0</v>
      </c>
      <c r="AR107">
        <f>M107*(M$1-$AF107)^2</f>
        <v>0</v>
      </c>
      <c r="AS107">
        <f>N107*(N$1-$AF107)^2</f>
        <v>0</v>
      </c>
      <c r="AT107">
        <f>O107*(O$1-$AF107)^2</f>
        <v>0</v>
      </c>
      <c r="AU107">
        <f>P107*(P$1-$AF107)^2</f>
        <v>0</v>
      </c>
      <c r="AV107">
        <f>Q107*(Q$1-$AF107)^2</f>
        <v>0</v>
      </c>
      <c r="AW107">
        <f>R107*(R$1-$AF107)^2</f>
        <v>0</v>
      </c>
      <c r="AX107">
        <f>S107*(S$1-$AF107)^2</f>
        <v>0</v>
      </c>
      <c r="AY107">
        <f>T107*(T$1-$AF107)^2</f>
        <v>14.440000000000005</v>
      </c>
      <c r="AZ107">
        <f>U107*(U$1-$AF107)^2</f>
        <v>0</v>
      </c>
      <c r="BA107">
        <f>V107*(V$1-$AF107)^2</f>
        <v>3.2400000000000024</v>
      </c>
      <c r="BB107">
        <f>W107*(W$1-$AF107)^2</f>
        <v>0.64000000000000112</v>
      </c>
      <c r="BC107">
        <f>X107*(X$1-$AF107)^2</f>
        <v>0</v>
      </c>
      <c r="BD107">
        <f>Y107*(Y$1-$AF107)^2</f>
        <v>0</v>
      </c>
      <c r="BE107">
        <f>Z107*(Z$1-$AF107)^2</f>
        <v>0</v>
      </c>
      <c r="BF107">
        <f>AA107*(AA$1-$AF107)^2</f>
        <v>20.47999999999999</v>
      </c>
      <c r="BG107">
        <f>AB107*(AB$1-$AF107)^2</f>
        <v>0</v>
      </c>
      <c r="BH107">
        <f>AC107*(AC$1-$AF107)^2</f>
        <v>0</v>
      </c>
      <c r="BI107">
        <f>AD107*(AD$1-$AF107)^2</f>
        <v>0</v>
      </c>
      <c r="BJ107">
        <f>AE107*(AE$1-$AF107)^2</f>
        <v>0</v>
      </c>
      <c r="BK107">
        <f>SQRT(SUM(AG107:BJ107)/SUM(B107:AE107))</f>
        <v>2.7856776554368237</v>
      </c>
      <c r="BL107">
        <f>_xlfn.FLOOR.MATH((AF107-BK107)/5)</f>
        <v>4</v>
      </c>
    </row>
    <row r="108" spans="1:64">
      <c r="A108" t="s">
        <v>381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6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f>SUMPRODUCT($B$1:$AE$1,B108:AE108)/SUM(B108:AE108)</f>
        <v>24</v>
      </c>
      <c r="AG108">
        <f>B108*(B$1-$AF108)^2</f>
        <v>0</v>
      </c>
      <c r="AH108">
        <f>C108*(C$1-$AF108)^2</f>
        <v>0</v>
      </c>
      <c r="AI108">
        <f>D108*(D$1-$AF108)^2</f>
        <v>0</v>
      </c>
      <c r="AJ108">
        <f>E108*(E$1-$AF108)^2</f>
        <v>0</v>
      </c>
      <c r="AK108">
        <f>F108*(F$1-$AF108)^2</f>
        <v>0</v>
      </c>
      <c r="AL108">
        <f>G108*(G$1-$AF108)^2</f>
        <v>0</v>
      </c>
      <c r="AM108">
        <f>H108*(H$1-$AF108)^2</f>
        <v>0</v>
      </c>
      <c r="AN108">
        <f>I108*(I$1-$AF108)^2</f>
        <v>0</v>
      </c>
      <c r="AO108">
        <f>J108*(J$1-$AF108)^2</f>
        <v>0</v>
      </c>
      <c r="AP108">
        <f>K108*(K$1-$AF108)^2</f>
        <v>0</v>
      </c>
      <c r="AQ108">
        <f>L108*(L$1-$AF108)^2</f>
        <v>0</v>
      </c>
      <c r="AR108">
        <f>M108*(M$1-$AF108)^2</f>
        <v>0</v>
      </c>
      <c r="AS108">
        <f>N108*(N$1-$AF108)^2</f>
        <v>0</v>
      </c>
      <c r="AT108">
        <f>O108*(O$1-$AF108)^2</f>
        <v>0</v>
      </c>
      <c r="AU108">
        <f>P108*(P$1-$AF108)^2</f>
        <v>0</v>
      </c>
      <c r="AV108">
        <f>Q108*(Q$1-$AF108)^2</f>
        <v>0</v>
      </c>
      <c r="AW108">
        <f>R108*(R$1-$AF108)^2</f>
        <v>0</v>
      </c>
      <c r="AX108">
        <f>S108*(S$1-$AF108)^2</f>
        <v>0</v>
      </c>
      <c r="AY108">
        <f>T108*(T$1-$AF108)^2</f>
        <v>0</v>
      </c>
      <c r="AZ108">
        <f>U108*(U$1-$AF108)^2</f>
        <v>0</v>
      </c>
      <c r="BA108">
        <f>V108*(V$1-$AF108)^2</f>
        <v>0</v>
      </c>
      <c r="BB108">
        <f>W108*(W$1-$AF108)^2</f>
        <v>0</v>
      </c>
      <c r="BC108">
        <f>X108*(X$1-$AF108)^2</f>
        <v>0</v>
      </c>
      <c r="BD108">
        <f>Y108*(Y$1-$AF108)^2</f>
        <v>0</v>
      </c>
      <c r="BE108">
        <f>Z108*(Z$1-$AF108)^2</f>
        <v>0</v>
      </c>
      <c r="BF108">
        <f>AA108*(AA$1-$AF108)^2</f>
        <v>0</v>
      </c>
      <c r="BG108">
        <f>AB108*(AB$1-$AF108)^2</f>
        <v>0</v>
      </c>
      <c r="BH108">
        <f>AC108*(AC$1-$AF108)^2</f>
        <v>0</v>
      </c>
      <c r="BI108">
        <f>AD108*(AD$1-$AF108)^2</f>
        <v>0</v>
      </c>
      <c r="BJ108">
        <f>AE108*(AE$1-$AF108)^2</f>
        <v>0</v>
      </c>
      <c r="BK108">
        <f>SQRT(SUM(AG108:BJ108)/SUM(B108:AE108))</f>
        <v>0</v>
      </c>
      <c r="BL108">
        <f>_xlfn.FLOOR.MATH((AF108-BK108)/5)</f>
        <v>4</v>
      </c>
    </row>
    <row r="109" spans="1:64">
      <c r="A109" t="s">
        <v>382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1</v>
      </c>
      <c r="Q109">
        <v>3</v>
      </c>
      <c r="R109">
        <v>8</v>
      </c>
      <c r="S109">
        <v>23</v>
      </c>
      <c r="T109">
        <v>33</v>
      </c>
      <c r="U109">
        <v>33</v>
      </c>
      <c r="V109">
        <v>41</v>
      </c>
      <c r="W109">
        <v>34</v>
      </c>
      <c r="X109">
        <v>29</v>
      </c>
      <c r="Y109">
        <v>14</v>
      </c>
      <c r="Z109">
        <v>21</v>
      </c>
      <c r="AA109">
        <v>14</v>
      </c>
      <c r="AB109">
        <v>14</v>
      </c>
      <c r="AC109">
        <v>7</v>
      </c>
      <c r="AD109">
        <v>2</v>
      </c>
      <c r="AE109">
        <v>0</v>
      </c>
      <c r="AF109">
        <f>SUMPRODUCT($B$1:$AE$1,B109:AE109)/SUM(B109:AE109)</f>
        <v>21.75179856115108</v>
      </c>
      <c r="AG109">
        <f>B109*(B$1-$AF109)^2</f>
        <v>0</v>
      </c>
      <c r="AH109">
        <f>C109*(C$1-$AF109)^2</f>
        <v>0</v>
      </c>
      <c r="AI109">
        <f>D109*(D$1-$AF109)^2</f>
        <v>0</v>
      </c>
      <c r="AJ109">
        <f>E109*(E$1-$AF109)^2</f>
        <v>0</v>
      </c>
      <c r="AK109">
        <f>F109*(F$1-$AF109)^2</f>
        <v>0</v>
      </c>
      <c r="AL109">
        <f>G109*(G$1-$AF109)^2</f>
        <v>0</v>
      </c>
      <c r="AM109">
        <f>H109*(H$1-$AF109)^2</f>
        <v>0</v>
      </c>
      <c r="AN109">
        <f>I109*(I$1-$AF109)^2</f>
        <v>0</v>
      </c>
      <c r="AO109">
        <f>J109*(J$1-$AF109)^2</f>
        <v>0</v>
      </c>
      <c r="AP109">
        <f>K109*(K$1-$AF109)^2</f>
        <v>0</v>
      </c>
      <c r="AQ109">
        <f>L109*(L$1-$AF109)^2</f>
        <v>0</v>
      </c>
      <c r="AR109">
        <f>M109*(M$1-$AF109)^2</f>
        <v>0</v>
      </c>
      <c r="AS109">
        <f>N109*(N$1-$AF109)^2</f>
        <v>0</v>
      </c>
      <c r="AT109">
        <f>O109*(O$1-$AF109)^2</f>
        <v>60.090380932663955</v>
      </c>
      <c r="AU109">
        <f>P109*(P$1-$AF109)^2</f>
        <v>45.586783810361794</v>
      </c>
      <c r="AV109">
        <f>Q109*(Q$1-$AF109)^2</f>
        <v>99.249560064178894</v>
      </c>
      <c r="AW109">
        <f>R109*(R$1-$AF109)^2</f>
        <v>180.63671652605981</v>
      </c>
      <c r="AX109">
        <f>S109*(S$1-$AF109)^2</f>
        <v>323.74782619947229</v>
      </c>
      <c r="AY109">
        <f>T109*(T$1-$AF109)^2</f>
        <v>249.88904559805414</v>
      </c>
      <c r="AZ109">
        <f>U109*(U$1-$AF109)^2</f>
        <v>101.27034056208284</v>
      </c>
      <c r="BA109">
        <f>V109*(V$1-$AF109)^2</f>
        <v>23.173244138502216</v>
      </c>
      <c r="BB109">
        <f>W109*(W$1-$AF109)^2</f>
        <v>2.0945344443869178</v>
      </c>
      <c r="BC109">
        <f>X109*(X$1-$AF109)^2</f>
        <v>45.182198126390894</v>
      </c>
      <c r="BD109">
        <f>Y109*(Y$1-$AF109)^2</f>
        <v>70.761735934992942</v>
      </c>
      <c r="BE109">
        <f>Z109*(Z$1-$AF109)^2</f>
        <v>221.56706433414405</v>
      </c>
      <c r="BF109">
        <f>AA109*(AA$1-$AF109)^2</f>
        <v>252.66101651053245</v>
      </c>
      <c r="BG109">
        <f>AB109*(AB$1-$AF109)^2</f>
        <v>385.61065679830222</v>
      </c>
      <c r="BH109">
        <f>AC109*(AC$1-$AF109)^2</f>
        <v>273.28014854303598</v>
      </c>
      <c r="BI109">
        <f>AD109*(AD$1-$AF109)^2</f>
        <v>105.0728481962631</v>
      </c>
      <c r="BJ109">
        <f>AE109*(AE$1-$AF109)^2</f>
        <v>0</v>
      </c>
      <c r="BK109">
        <f>SQRT(SUM(AG109:BJ109)/SUM(B109:AE109))</f>
        <v>2.9625201336288334</v>
      </c>
      <c r="BL109">
        <f>_xlfn.FLOOR.MATH((AF109-BK109)/5)</f>
        <v>3</v>
      </c>
    </row>
    <row r="110" spans="1:64">
      <c r="A110" t="s">
        <v>383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2</v>
      </c>
      <c r="I110">
        <v>0</v>
      </c>
      <c r="J110">
        <v>1</v>
      </c>
      <c r="K110">
        <v>2</v>
      </c>
      <c r="L110">
        <v>0</v>
      </c>
      <c r="M110">
        <v>2</v>
      </c>
      <c r="N110">
        <v>4</v>
      </c>
      <c r="O110">
        <v>3</v>
      </c>
      <c r="P110">
        <v>0</v>
      </c>
      <c r="Q110">
        <v>8</v>
      </c>
      <c r="R110">
        <v>15</v>
      </c>
      <c r="S110">
        <v>14</v>
      </c>
      <c r="T110">
        <v>15</v>
      </c>
      <c r="U110">
        <v>20</v>
      </c>
      <c r="V110">
        <v>23</v>
      </c>
      <c r="W110">
        <v>19</v>
      </c>
      <c r="X110">
        <v>10</v>
      </c>
      <c r="Y110">
        <v>6</v>
      </c>
      <c r="Z110">
        <v>1</v>
      </c>
      <c r="AA110">
        <v>7</v>
      </c>
      <c r="AB110">
        <v>4</v>
      </c>
      <c r="AC110">
        <v>0</v>
      </c>
      <c r="AD110">
        <v>0</v>
      </c>
      <c r="AE110">
        <v>0</v>
      </c>
      <c r="AF110">
        <f>SUMPRODUCT($B$1:$AE$1,B110:AE110)/SUM(B110:AE110)</f>
        <v>19.685897435897434</v>
      </c>
      <c r="AG110">
        <f>B110*(B$1-$AF110)^2</f>
        <v>0</v>
      </c>
      <c r="AH110">
        <f>C110*(C$1-$AF110)^2</f>
        <v>0</v>
      </c>
      <c r="AI110">
        <f>D110*(D$1-$AF110)^2</f>
        <v>0</v>
      </c>
      <c r="AJ110">
        <f>E110*(E$1-$AF110)^2</f>
        <v>0</v>
      </c>
      <c r="AK110">
        <f>F110*(F$1-$AF110)^2</f>
        <v>0</v>
      </c>
      <c r="AL110">
        <f>G110*(G$1-$AF110)^2</f>
        <v>0</v>
      </c>
      <c r="AM110">
        <f>H110*(H$1-$AF110)^2</f>
        <v>321.8639875082182</v>
      </c>
      <c r="AN110">
        <f>I110*(I$1-$AF110)^2</f>
        <v>0</v>
      </c>
      <c r="AO110">
        <f>J110*(J$1-$AF110)^2</f>
        <v>114.18840401051936</v>
      </c>
      <c r="AP110">
        <f>K110*(K$1-$AF110)^2</f>
        <v>187.63321827744898</v>
      </c>
      <c r="AQ110">
        <f>L110*(L$1-$AF110)^2</f>
        <v>0</v>
      </c>
      <c r="AR110">
        <f>M110*(M$1-$AF110)^2</f>
        <v>118.14603879026951</v>
      </c>
      <c r="AS110">
        <f>N110*(N$1-$AF110)^2</f>
        <v>178.80489809335955</v>
      </c>
      <c r="AT110">
        <f>O110*(O$1-$AF110)^2</f>
        <v>96.988288954635067</v>
      </c>
      <c r="AU110">
        <f>P110*(P$1-$AF110)^2</f>
        <v>0</v>
      </c>
      <c r="AV110">
        <f>Q110*(Q$1-$AF110)^2</f>
        <v>108.68671926364225</v>
      </c>
      <c r="AW110">
        <f>R110*(R$1-$AF110)^2</f>
        <v>108.21067554240618</v>
      </c>
      <c r="AX110">
        <f>S110*(S$1-$AF110)^2</f>
        <v>39.79150230111761</v>
      </c>
      <c r="AY110">
        <f>T110*(T$1-$AF110)^2</f>
        <v>7.0568293885601268</v>
      </c>
      <c r="AZ110">
        <f>U110*(U$1-$AF110)^2</f>
        <v>1.9732084155161274</v>
      </c>
      <c r="BA110">
        <f>V110*(V$1-$AF110)^2</f>
        <v>39.717907626561569</v>
      </c>
      <c r="BB110">
        <f>W110*(W$1-$AF110)^2</f>
        <v>101.7463428665353</v>
      </c>
      <c r="BC110">
        <f>X110*(X$1-$AF110)^2</f>
        <v>109.832758053912</v>
      </c>
      <c r="BD110">
        <f>Y110*(Y$1-$AF110)^2</f>
        <v>111.668885601578</v>
      </c>
      <c r="BE110">
        <f>Z110*(Z$1-$AF110)^2</f>
        <v>28.239686061801464</v>
      </c>
      <c r="BF110">
        <f>AA110*(AA$1-$AF110)^2</f>
        <v>279.07523833004615</v>
      </c>
      <c r="BG110">
        <f>AB110*(AB$1-$AF110)^2</f>
        <v>213.98438527284691</v>
      </c>
      <c r="BH110">
        <f>AC110*(AC$1-$AF110)^2</f>
        <v>0</v>
      </c>
      <c r="BI110">
        <f>AD110*(AD$1-$AF110)^2</f>
        <v>0</v>
      </c>
      <c r="BJ110">
        <f>AE110*(AE$1-$AF110)^2</f>
        <v>0</v>
      </c>
      <c r="BK110">
        <f>SQRT(SUM(AG110:BJ110)/SUM(B110:AE110))</f>
        <v>3.7275902836569816</v>
      </c>
      <c r="BL110">
        <f>_xlfn.FLOOR.MATH((AF110-BK110)/5)</f>
        <v>3</v>
      </c>
    </row>
    <row r="111" spans="1:64">
      <c r="A111" t="s">
        <v>384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2</v>
      </c>
      <c r="AA111">
        <v>0</v>
      </c>
      <c r="AB111">
        <v>0</v>
      </c>
      <c r="AC111">
        <v>2</v>
      </c>
      <c r="AD111">
        <v>0</v>
      </c>
      <c r="AE111">
        <v>0</v>
      </c>
      <c r="AF111">
        <f>SUMPRODUCT($B$1:$AE$1,B111:AE111)/SUM(B111:AE111)</f>
        <v>26.5</v>
      </c>
      <c r="AG111">
        <f>B111*(B$1-$AF111)^2</f>
        <v>0</v>
      </c>
      <c r="AH111">
        <f>C111*(C$1-$AF111)^2</f>
        <v>0</v>
      </c>
      <c r="AI111">
        <f>D111*(D$1-$AF111)^2</f>
        <v>0</v>
      </c>
      <c r="AJ111">
        <f>E111*(E$1-$AF111)^2</f>
        <v>0</v>
      </c>
      <c r="AK111">
        <f>F111*(F$1-$AF111)^2</f>
        <v>0</v>
      </c>
      <c r="AL111">
        <f>G111*(G$1-$AF111)^2</f>
        <v>0</v>
      </c>
      <c r="AM111">
        <f>H111*(H$1-$AF111)^2</f>
        <v>0</v>
      </c>
      <c r="AN111">
        <f>I111*(I$1-$AF111)^2</f>
        <v>0</v>
      </c>
      <c r="AO111">
        <f>J111*(J$1-$AF111)^2</f>
        <v>0</v>
      </c>
      <c r="AP111">
        <f>K111*(K$1-$AF111)^2</f>
        <v>0</v>
      </c>
      <c r="AQ111">
        <f>L111*(L$1-$AF111)^2</f>
        <v>0</v>
      </c>
      <c r="AR111">
        <f>M111*(M$1-$AF111)^2</f>
        <v>0</v>
      </c>
      <c r="AS111">
        <f>N111*(N$1-$AF111)^2</f>
        <v>0</v>
      </c>
      <c r="AT111">
        <f>O111*(O$1-$AF111)^2</f>
        <v>0</v>
      </c>
      <c r="AU111">
        <f>P111*(P$1-$AF111)^2</f>
        <v>0</v>
      </c>
      <c r="AV111">
        <f>Q111*(Q$1-$AF111)^2</f>
        <v>0</v>
      </c>
      <c r="AW111">
        <f>R111*(R$1-$AF111)^2</f>
        <v>0</v>
      </c>
      <c r="AX111">
        <f>S111*(S$1-$AF111)^2</f>
        <v>0</v>
      </c>
      <c r="AY111">
        <f>T111*(T$1-$AF111)^2</f>
        <v>0</v>
      </c>
      <c r="AZ111">
        <f>U111*(U$1-$AF111)^2</f>
        <v>0</v>
      </c>
      <c r="BA111">
        <f>V111*(V$1-$AF111)^2</f>
        <v>0</v>
      </c>
      <c r="BB111">
        <f>W111*(W$1-$AF111)^2</f>
        <v>0</v>
      </c>
      <c r="BC111">
        <f>X111*(X$1-$AF111)^2</f>
        <v>0</v>
      </c>
      <c r="BD111">
        <f>Y111*(Y$1-$AF111)^2</f>
        <v>0</v>
      </c>
      <c r="BE111">
        <f>Z111*(Z$1-$AF111)^2</f>
        <v>4.5</v>
      </c>
      <c r="BF111">
        <f>AA111*(AA$1-$AF111)^2</f>
        <v>0</v>
      </c>
      <c r="BG111">
        <f>AB111*(AB$1-$AF111)^2</f>
        <v>0</v>
      </c>
      <c r="BH111">
        <f>AC111*(AC$1-$AF111)^2</f>
        <v>4.5</v>
      </c>
      <c r="BI111">
        <f>AD111*(AD$1-$AF111)^2</f>
        <v>0</v>
      </c>
      <c r="BJ111">
        <f>AE111*(AE$1-$AF111)^2</f>
        <v>0</v>
      </c>
      <c r="BK111">
        <f>SQRT(SUM(AG111:BJ111)/SUM(B111:AE111))</f>
        <v>1.5</v>
      </c>
      <c r="BL111">
        <f>_xlfn.FLOOR.MATH((AF111-BK111)/5)</f>
        <v>5</v>
      </c>
    </row>
    <row r="112" spans="1:64">
      <c r="A112" t="s">
        <v>385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5</v>
      </c>
      <c r="O112">
        <v>9</v>
      </c>
      <c r="P112">
        <v>13</v>
      </c>
      <c r="Q112">
        <v>6</v>
      </c>
      <c r="R112">
        <v>14</v>
      </c>
      <c r="S112">
        <v>10</v>
      </c>
      <c r="T112">
        <v>7</v>
      </c>
      <c r="U112">
        <v>6</v>
      </c>
      <c r="V112">
        <v>13</v>
      </c>
      <c r="W112">
        <v>5</v>
      </c>
      <c r="X112">
        <v>6</v>
      </c>
      <c r="Y112">
        <v>3</v>
      </c>
      <c r="Z112">
        <v>5</v>
      </c>
      <c r="AA112">
        <v>3</v>
      </c>
      <c r="AB112">
        <v>0</v>
      </c>
      <c r="AC112">
        <v>0</v>
      </c>
      <c r="AD112">
        <v>0</v>
      </c>
      <c r="AE112">
        <v>1</v>
      </c>
      <c r="AF112">
        <f>SUMPRODUCT($B$1:$AE$1,B112:AE112)/SUM(B112:AE112)</f>
        <v>18.607476635514018</v>
      </c>
      <c r="AG112">
        <f>B112*(B$1-$AF112)^2</f>
        <v>0</v>
      </c>
      <c r="AH112">
        <f>C112*(C$1-$AF112)^2</f>
        <v>0</v>
      </c>
      <c r="AI112">
        <f>D112*(D$1-$AF112)^2</f>
        <v>0</v>
      </c>
      <c r="AJ112">
        <f>E112*(E$1-$AF112)^2</f>
        <v>0</v>
      </c>
      <c r="AK112">
        <f>F112*(F$1-$AF112)^2</f>
        <v>0</v>
      </c>
      <c r="AL112">
        <f>G112*(G$1-$AF112)^2</f>
        <v>0</v>
      </c>
      <c r="AM112">
        <f>H112*(H$1-$AF112)^2</f>
        <v>0</v>
      </c>
      <c r="AN112">
        <f>I112*(I$1-$AF112)^2</f>
        <v>0</v>
      </c>
      <c r="AO112">
        <f>J112*(J$1-$AF112)^2</f>
        <v>0</v>
      </c>
      <c r="AP112">
        <f>K112*(K$1-$AF112)^2</f>
        <v>0</v>
      </c>
      <c r="AQ112">
        <f>L112*(L$1-$AF112)^2</f>
        <v>0</v>
      </c>
      <c r="AR112">
        <f>M112*(M$1-$AF112)^2</f>
        <v>43.658747488863654</v>
      </c>
      <c r="AS112">
        <f>N112*(N$1-$AF112)^2</f>
        <v>157.21897108917807</v>
      </c>
      <c r="AT112">
        <f>O112*(O$1-$AF112)^2</f>
        <v>191.0595685212682</v>
      </c>
      <c r="AU112">
        <f>P112*(P$1-$AF112)^2</f>
        <v>169.18053978513404</v>
      </c>
      <c r="AV112">
        <f>Q112*(Q$1-$AF112)^2</f>
        <v>40.79360642850903</v>
      </c>
      <c r="AW112">
        <f>R112*(R$1-$AF112)^2</f>
        <v>36.175735872128556</v>
      </c>
      <c r="AX112">
        <f>S112*(S$1-$AF112)^2</f>
        <v>3.6902786269543157</v>
      </c>
      <c r="AY112">
        <f>T112*(T$1-$AF112)^2</f>
        <v>1.0785221416717632</v>
      </c>
      <c r="AZ112">
        <f>U112*(U$1-$AF112)^2</f>
        <v>11.634727923836147</v>
      </c>
      <c r="BA112">
        <f>V112*(V$1-$AF112)^2</f>
        <v>74.41418464494717</v>
      </c>
      <c r="BB112">
        <f>W112*(W$1-$AF112)^2</f>
        <v>57.546073892916425</v>
      </c>
      <c r="BC112">
        <f>X112*(X$1-$AF112)^2</f>
        <v>115.76556904533149</v>
      </c>
      <c r="BD112">
        <f>Y112*(Y$1-$AF112)^2</f>
        <v>87.237924709581634</v>
      </c>
      <c r="BE112">
        <f>Z112*(Z$1-$AF112)^2</f>
        <v>204.32177482749586</v>
      </c>
      <c r="BF112">
        <f>AA112*(AA$1-$AF112)^2</f>
        <v>163.94820508341343</v>
      </c>
      <c r="BG112">
        <f>AB112*(AB$1-$AF112)^2</f>
        <v>0</v>
      </c>
      <c r="BH112">
        <f>AC112*(AC$1-$AF112)^2</f>
        <v>0</v>
      </c>
      <c r="BI112">
        <f>AD112*(AD$1-$AF112)^2</f>
        <v>0</v>
      </c>
      <c r="BJ112">
        <f>AE112*(AE$1-$AF112)^2</f>
        <v>129.78958861035898</v>
      </c>
      <c r="BK112">
        <f>SQRT(SUM(AG112:BJ112)/SUM(B112:AE112))</f>
        <v>3.7285386111300696</v>
      </c>
      <c r="BL112">
        <f>_xlfn.FLOOR.MATH((AF112-BK112)/5)</f>
        <v>2</v>
      </c>
    </row>
    <row r="113" spans="1:64">
      <c r="A113" t="s">
        <v>386</v>
      </c>
      <c r="B113">
        <v>0</v>
      </c>
      <c r="C113">
        <v>0</v>
      </c>
      <c r="D113">
        <v>0</v>
      </c>
      <c r="E113">
        <v>0</v>
      </c>
      <c r="F113">
        <v>2</v>
      </c>
      <c r="G113">
        <v>2</v>
      </c>
      <c r="H113">
        <v>0</v>
      </c>
      <c r="I113">
        <v>1</v>
      </c>
      <c r="J113">
        <v>1</v>
      </c>
      <c r="K113">
        <v>2</v>
      </c>
      <c r="L113">
        <v>0</v>
      </c>
      <c r="M113">
        <v>4</v>
      </c>
      <c r="N113">
        <v>2</v>
      </c>
      <c r="O113">
        <v>1</v>
      </c>
      <c r="P113">
        <v>0</v>
      </c>
      <c r="Q113">
        <v>10</v>
      </c>
      <c r="R113">
        <v>5</v>
      </c>
      <c r="S113">
        <v>18</v>
      </c>
      <c r="T113">
        <v>14</v>
      </c>
      <c r="U113">
        <v>18</v>
      </c>
      <c r="V113">
        <v>12</v>
      </c>
      <c r="W113">
        <v>12</v>
      </c>
      <c r="X113">
        <v>12</v>
      </c>
      <c r="Y113">
        <v>10</v>
      </c>
      <c r="Z113">
        <v>8</v>
      </c>
      <c r="AA113">
        <v>8</v>
      </c>
      <c r="AB113">
        <v>4</v>
      </c>
      <c r="AC113">
        <v>11</v>
      </c>
      <c r="AD113">
        <v>3</v>
      </c>
      <c r="AE113">
        <v>1</v>
      </c>
      <c r="AF113">
        <f>SUMPRODUCT($B$1:$AE$1,B113:AE113)/SUM(B113:AE113)</f>
        <v>20.590062111801242</v>
      </c>
      <c r="AG113">
        <f>B113*(B$1-$AF113)^2</f>
        <v>0</v>
      </c>
      <c r="AH113">
        <f>C113*(C$1-$AF113)^2</f>
        <v>0</v>
      </c>
      <c r="AI113">
        <f>D113*(D$1-$AF113)^2</f>
        <v>0</v>
      </c>
      <c r="AJ113">
        <f>E113*(E$1-$AF113)^2</f>
        <v>0</v>
      </c>
      <c r="AK113">
        <f>F113*(F$1-$AF113)^2</f>
        <v>486.10007329964117</v>
      </c>
      <c r="AL113">
        <f>G113*(G$1-$AF113)^2</f>
        <v>425.73982485243624</v>
      </c>
      <c r="AM113">
        <f>H113*(H$1-$AF113)^2</f>
        <v>0</v>
      </c>
      <c r="AN113">
        <f>I113*(I$1-$AF113)^2</f>
        <v>158.50966397901314</v>
      </c>
      <c r="AO113">
        <f>J113*(J$1-$AF113)^2</f>
        <v>134.32953975541065</v>
      </c>
      <c r="AP113">
        <f>K113*(K$1-$AF113)^2</f>
        <v>224.29883106361635</v>
      </c>
      <c r="AQ113">
        <f>L113*(L$1-$AF113)^2</f>
        <v>0</v>
      </c>
      <c r="AR113">
        <f>M113*(M$1-$AF113)^2</f>
        <v>295.15666833841283</v>
      </c>
      <c r="AS113">
        <f>N113*(N$1-$AF113)^2</f>
        <v>115.21808572200145</v>
      </c>
      <c r="AT113">
        <f>O113*(O$1-$AF113)^2</f>
        <v>43.42891863739824</v>
      </c>
      <c r="AU113">
        <f>P113*(P$1-$AF113)^2</f>
        <v>0</v>
      </c>
      <c r="AV113">
        <f>Q113*(Q$1-$AF113)^2</f>
        <v>210.68670190193274</v>
      </c>
      <c r="AW113">
        <f>R113*(R$1-$AF113)^2</f>
        <v>64.442729832953958</v>
      </c>
      <c r="AX113">
        <f>S113*(S$1-$AF113)^2</f>
        <v>120.75159137378954</v>
      </c>
      <c r="AY113">
        <f>T113*(T$1-$AF113)^2</f>
        <v>35.396165271401543</v>
      </c>
      <c r="AZ113">
        <f>U113*(U$1-$AF113)^2</f>
        <v>6.2671193241001388</v>
      </c>
      <c r="BA113">
        <f>V113*(V$1-$AF113)^2</f>
        <v>2.0165888661702924</v>
      </c>
      <c r="BB113">
        <f>W113*(W$1-$AF113)^2</f>
        <v>23.855098182940491</v>
      </c>
      <c r="BC113">
        <f>X113*(X$1-$AF113)^2</f>
        <v>69.693607499710694</v>
      </c>
      <c r="BD113">
        <f>Y113*(Y$1-$AF113)^2</f>
        <v>116.27676401373408</v>
      </c>
      <c r="BE113">
        <f>Z113*(Z$1-$AF113)^2</f>
        <v>155.58041742216739</v>
      </c>
      <c r="BF113">
        <f>AA113*(AA$1-$AF113)^2</f>
        <v>234.13942363334752</v>
      </c>
      <c r="BG113">
        <f>AB113*(AB$1-$AF113)^2</f>
        <v>164.34921492226383</v>
      </c>
      <c r="BH113">
        <f>AC113*(AC$1-$AF113)^2</f>
        <v>603.97897457659815</v>
      </c>
      <c r="BI113">
        <f>AD113*(AD$1-$AF113)^2</f>
        <v>212.181165850083</v>
      </c>
      <c r="BJ113">
        <f>AE113*(AE$1-$AF113)^2</f>
        <v>88.546931059758506</v>
      </c>
      <c r="BK113">
        <f>SQRT(SUM(AG113:BJ113)/SUM(B113:AE113))</f>
        <v>4.9788023325845723</v>
      </c>
      <c r="BL113">
        <f>_xlfn.FLOOR.MATH((AF113-BK113)/5)</f>
        <v>3</v>
      </c>
    </row>
    <row r="114" spans="1:64">
      <c r="A114" t="s">
        <v>387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4</v>
      </c>
      <c r="X114">
        <v>4</v>
      </c>
      <c r="Y114">
        <v>1</v>
      </c>
      <c r="Z114">
        <v>3</v>
      </c>
      <c r="AA114">
        <v>2</v>
      </c>
      <c r="AB114">
        <v>0</v>
      </c>
      <c r="AC114">
        <v>3</v>
      </c>
      <c r="AD114">
        <v>0</v>
      </c>
      <c r="AE114">
        <v>0</v>
      </c>
      <c r="AF114">
        <f>SUMPRODUCT($B$1:$AE$1,B114:AE114)/SUM(B114:AE114)</f>
        <v>24.166666666666668</v>
      </c>
      <c r="AG114">
        <f>B114*(B$1-$AF114)^2</f>
        <v>0</v>
      </c>
      <c r="AH114">
        <f>C114*(C$1-$AF114)^2</f>
        <v>0</v>
      </c>
      <c r="AI114">
        <f>D114*(D$1-$AF114)^2</f>
        <v>0</v>
      </c>
      <c r="AJ114">
        <f>E114*(E$1-$AF114)^2</f>
        <v>0</v>
      </c>
      <c r="AK114">
        <f>F114*(F$1-$AF114)^2</f>
        <v>0</v>
      </c>
      <c r="AL114">
        <f>G114*(G$1-$AF114)^2</f>
        <v>0</v>
      </c>
      <c r="AM114">
        <f>H114*(H$1-$AF114)^2</f>
        <v>0</v>
      </c>
      <c r="AN114">
        <f>I114*(I$1-$AF114)^2</f>
        <v>0</v>
      </c>
      <c r="AO114">
        <f>J114*(J$1-$AF114)^2</f>
        <v>0</v>
      </c>
      <c r="AP114">
        <f>K114*(K$1-$AF114)^2</f>
        <v>0</v>
      </c>
      <c r="AQ114">
        <f>L114*(L$1-$AF114)^2</f>
        <v>0</v>
      </c>
      <c r="AR114">
        <f>M114*(M$1-$AF114)^2</f>
        <v>0</v>
      </c>
      <c r="AS114">
        <f>N114*(N$1-$AF114)^2</f>
        <v>0</v>
      </c>
      <c r="AT114">
        <f>O114*(O$1-$AF114)^2</f>
        <v>0</v>
      </c>
      <c r="AU114">
        <f>P114*(P$1-$AF114)^2</f>
        <v>0</v>
      </c>
      <c r="AV114">
        <f>Q114*(Q$1-$AF114)^2</f>
        <v>0</v>
      </c>
      <c r="AW114">
        <f>R114*(R$1-$AF114)^2</f>
        <v>0</v>
      </c>
      <c r="AX114">
        <f>S114*(S$1-$AF114)^2</f>
        <v>0</v>
      </c>
      <c r="AY114">
        <f>T114*(T$1-$AF114)^2</f>
        <v>0</v>
      </c>
      <c r="AZ114">
        <f>U114*(U$1-$AF114)^2</f>
        <v>17.361111111111121</v>
      </c>
      <c r="BA114">
        <f>V114*(V$1-$AF114)^2</f>
        <v>0</v>
      </c>
      <c r="BB114">
        <f>W114*(W$1-$AF114)^2</f>
        <v>18.7777777777778</v>
      </c>
      <c r="BC114">
        <f>X114*(X$1-$AF114)^2</f>
        <v>5.4444444444444553</v>
      </c>
      <c r="BD114">
        <f>Y114*(Y$1-$AF114)^2</f>
        <v>2.7777777777778172E-2</v>
      </c>
      <c r="BE114">
        <f>Z114*(Z$1-$AF114)^2</f>
        <v>2.0833333333333273</v>
      </c>
      <c r="BF114">
        <f>AA114*(AA$1-$AF114)^2</f>
        <v>6.7222222222222134</v>
      </c>
      <c r="BG114">
        <f>AB114*(AB$1-$AF114)^2</f>
        <v>0</v>
      </c>
      <c r="BH114">
        <f>AC114*(AC$1-$AF114)^2</f>
        <v>44.083333333333307</v>
      </c>
      <c r="BI114">
        <f>AD114*(AD$1-$AF114)^2</f>
        <v>0</v>
      </c>
      <c r="BJ114">
        <f>AE114*(AE$1-$AF114)^2</f>
        <v>0</v>
      </c>
      <c r="BK114">
        <f>SQRT(SUM(AG114:BJ114)/SUM(B114:AE114))</f>
        <v>2.2912878474779199</v>
      </c>
      <c r="BL114">
        <f>_xlfn.FLOOR.MATH((AF114-BK114)/5)</f>
        <v>4</v>
      </c>
    </row>
    <row r="115" spans="1:64">
      <c r="A115" t="s">
        <v>388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4</v>
      </c>
      <c r="M115">
        <v>1</v>
      </c>
      <c r="N115">
        <v>2</v>
      </c>
      <c r="O115">
        <v>4</v>
      </c>
      <c r="P115">
        <v>2</v>
      </c>
      <c r="Q115">
        <v>5</v>
      </c>
      <c r="R115">
        <v>7</v>
      </c>
      <c r="S115">
        <v>2</v>
      </c>
      <c r="T115">
        <v>3</v>
      </c>
      <c r="U115">
        <v>3</v>
      </c>
      <c r="V115">
        <v>6</v>
      </c>
      <c r="W115">
        <v>4</v>
      </c>
      <c r="X115">
        <v>5</v>
      </c>
      <c r="Y115">
        <v>1</v>
      </c>
      <c r="Z115">
        <v>2</v>
      </c>
      <c r="AA115">
        <v>1</v>
      </c>
      <c r="AB115">
        <v>0</v>
      </c>
      <c r="AC115">
        <v>0</v>
      </c>
      <c r="AD115">
        <v>0</v>
      </c>
      <c r="AE115">
        <v>0</v>
      </c>
      <c r="AF115">
        <f>SUMPRODUCT($B$1:$AE$1,B115:AE115)/SUM(B115:AE115)</f>
        <v>18.056603773584907</v>
      </c>
      <c r="AG115">
        <f>B115*(B$1-$AF115)^2</f>
        <v>0</v>
      </c>
      <c r="AH115">
        <f>C115*(C$1-$AF115)^2</f>
        <v>0</v>
      </c>
      <c r="AI115">
        <f>D115*(D$1-$AF115)^2</f>
        <v>0</v>
      </c>
      <c r="AJ115">
        <f>E115*(E$1-$AF115)^2</f>
        <v>0</v>
      </c>
      <c r="AK115">
        <f>F115*(F$1-$AF115)^2</f>
        <v>0</v>
      </c>
      <c r="AL115">
        <f>G115*(G$1-$AF115)^2</f>
        <v>0</v>
      </c>
      <c r="AM115">
        <f>H115*(H$1-$AF115)^2</f>
        <v>0</v>
      </c>
      <c r="AN115">
        <f>I115*(I$1-$AF115)^2</f>
        <v>101.1352794588822</v>
      </c>
      <c r="AO115">
        <f>J115*(J$1-$AF115)^2</f>
        <v>0</v>
      </c>
      <c r="AP115">
        <f>K115*(K$1-$AF115)^2</f>
        <v>0</v>
      </c>
      <c r="AQ115">
        <f>L115*(L$1-$AF115)^2</f>
        <v>199.18262726949101</v>
      </c>
      <c r="AR115">
        <f>M115*(M$1-$AF115)^2</f>
        <v>36.682449270202937</v>
      </c>
      <c r="AS115">
        <f>N115*(N$1-$AF115)^2</f>
        <v>51.138483446066246</v>
      </c>
      <c r="AT115">
        <f>O115*(O$1-$AF115)^2</f>
        <v>65.824136703453235</v>
      </c>
      <c r="AU115">
        <f>P115*(P$1-$AF115)^2</f>
        <v>18.685653257386988</v>
      </c>
      <c r="AV115">
        <f>Q115*(Q$1-$AF115)^2</f>
        <v>21.148095407618399</v>
      </c>
      <c r="AW115">
        <f>R115*(R$1-$AF115)^2</f>
        <v>7.8148807404770615</v>
      </c>
      <c r="AX115">
        <f>S115*(S$1-$AF115)^2</f>
        <v>6.4079743681028766E-3</v>
      </c>
      <c r="AY115">
        <f>T115*(T$1-$AF115)^2</f>
        <v>2.6699893200427112</v>
      </c>
      <c r="AZ115">
        <f>U115*(U$1-$AF115)^2</f>
        <v>11.330366678533268</v>
      </c>
      <c r="BA115">
        <f>V115*(V$1-$AF115)^2</f>
        <v>51.981488074047647</v>
      </c>
      <c r="BB115">
        <f>W115*(W$1-$AF115)^2</f>
        <v>62.201495194019174</v>
      </c>
      <c r="BC115">
        <f>X115*(X$1-$AF115)^2</f>
        <v>122.1858312566749</v>
      </c>
      <c r="BD115">
        <f>Y115*(Y$1-$AF115)^2</f>
        <v>35.323958704165165</v>
      </c>
      <c r="BE115">
        <f>Z115*(Z$1-$AF115)^2</f>
        <v>96.4215023139907</v>
      </c>
      <c r="BF115">
        <f>AA115*(AA$1-$AF115)^2</f>
        <v>63.097543609825536</v>
      </c>
      <c r="BG115">
        <f>AB115*(AB$1-$AF115)^2</f>
        <v>0</v>
      </c>
      <c r="BH115">
        <f>AC115*(AC$1-$AF115)^2</f>
        <v>0</v>
      </c>
      <c r="BI115">
        <f>AD115*(AD$1-$AF115)^2</f>
        <v>0</v>
      </c>
      <c r="BJ115">
        <f>AE115*(AE$1-$AF115)^2</f>
        <v>0</v>
      </c>
      <c r="BK115">
        <f>SQRT(SUM(AG115:BJ115)/SUM(B115:AE115))</f>
        <v>4.2266677822035925</v>
      </c>
      <c r="BL115">
        <f>_xlfn.FLOOR.MATH((AF115-BK115)/5)</f>
        <v>2</v>
      </c>
    </row>
    <row r="116" spans="1:64">
      <c r="A116" t="s">
        <v>389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10</v>
      </c>
      <c r="AA116">
        <v>6</v>
      </c>
      <c r="AB116">
        <v>2</v>
      </c>
      <c r="AC116">
        <v>1</v>
      </c>
      <c r="AD116">
        <v>2</v>
      </c>
      <c r="AE116">
        <v>1</v>
      </c>
      <c r="AF116">
        <f>SUMPRODUCT($B$1:$AE$1,B116:AE116)/SUM(B116:AE116)</f>
        <v>26.086956521739129</v>
      </c>
      <c r="AG116">
        <f>B116*(B$1-$AF116)^2</f>
        <v>0</v>
      </c>
      <c r="AH116">
        <f>C116*(C$1-$AF116)^2</f>
        <v>0</v>
      </c>
      <c r="AI116">
        <f>D116*(D$1-$AF116)^2</f>
        <v>0</v>
      </c>
      <c r="AJ116">
        <f>E116*(E$1-$AF116)^2</f>
        <v>0</v>
      </c>
      <c r="AK116">
        <f>F116*(F$1-$AF116)^2</f>
        <v>0</v>
      </c>
      <c r="AL116">
        <f>G116*(G$1-$AF116)^2</f>
        <v>0</v>
      </c>
      <c r="AM116">
        <f>H116*(H$1-$AF116)^2</f>
        <v>0</v>
      </c>
      <c r="AN116">
        <f>I116*(I$1-$AF116)^2</f>
        <v>0</v>
      </c>
      <c r="AO116">
        <f>J116*(J$1-$AF116)^2</f>
        <v>0</v>
      </c>
      <c r="AP116">
        <f>K116*(K$1-$AF116)^2</f>
        <v>0</v>
      </c>
      <c r="AQ116">
        <f>L116*(L$1-$AF116)^2</f>
        <v>0</v>
      </c>
      <c r="AR116">
        <f>M116*(M$1-$AF116)^2</f>
        <v>0</v>
      </c>
      <c r="AS116">
        <f>N116*(N$1-$AF116)^2</f>
        <v>0</v>
      </c>
      <c r="AT116">
        <f>O116*(O$1-$AF116)^2</f>
        <v>0</v>
      </c>
      <c r="AU116">
        <f>P116*(P$1-$AF116)^2</f>
        <v>0</v>
      </c>
      <c r="AV116">
        <f>Q116*(Q$1-$AF116)^2</f>
        <v>0</v>
      </c>
      <c r="AW116">
        <f>R116*(R$1-$AF116)^2</f>
        <v>0</v>
      </c>
      <c r="AX116">
        <f>S116*(S$1-$AF116)^2</f>
        <v>0</v>
      </c>
      <c r="AY116">
        <f>T116*(T$1-$AF116)^2</f>
        <v>0</v>
      </c>
      <c r="AZ116">
        <f>U116*(U$1-$AF116)^2</f>
        <v>0</v>
      </c>
      <c r="BA116">
        <f>V116*(V$1-$AF116)^2</f>
        <v>0</v>
      </c>
      <c r="BB116">
        <f>W116*(W$1-$AF116)^2</f>
        <v>0</v>
      </c>
      <c r="BC116">
        <f>X116*(X$1-$AF116)^2</f>
        <v>0</v>
      </c>
      <c r="BD116">
        <f>Y116*(Y$1-$AF116)^2</f>
        <v>4.3553875236294841</v>
      </c>
      <c r="BE116">
        <f>Z116*(Z$1-$AF116)^2</f>
        <v>11.814744801512258</v>
      </c>
      <c r="BF116">
        <f>AA116*(AA$1-$AF116)^2</f>
        <v>4.5368620037805729E-2</v>
      </c>
      <c r="BG116">
        <f>AB116*(AB$1-$AF116)^2</f>
        <v>1.667296786389419</v>
      </c>
      <c r="BH116">
        <f>AC116*(AC$1-$AF116)^2</f>
        <v>3.6597353497164513</v>
      </c>
      <c r="BI116">
        <f>AD116*(AD$1-$AF116)^2</f>
        <v>16.971644612476386</v>
      </c>
      <c r="BJ116">
        <f>AE116*(AE$1-$AF116)^2</f>
        <v>15.311909262759935</v>
      </c>
      <c r="BK116">
        <f>SQRT(SUM(AG116:BJ116)/SUM(B116:AE116))</f>
        <v>1.5297923552834072</v>
      </c>
      <c r="BL116">
        <f>_xlfn.FLOOR.MATH((AF116-BK116)/5)</f>
        <v>4</v>
      </c>
    </row>
    <row r="117" spans="1:64">
      <c r="A117" t="s">
        <v>390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1</v>
      </c>
      <c r="J117">
        <v>3</v>
      </c>
      <c r="K117">
        <v>0</v>
      </c>
      <c r="L117">
        <v>1</v>
      </c>
      <c r="M117">
        <v>3</v>
      </c>
      <c r="N117">
        <v>0</v>
      </c>
      <c r="O117">
        <v>1</v>
      </c>
      <c r="P117">
        <v>1</v>
      </c>
      <c r="Q117">
        <v>3</v>
      </c>
      <c r="R117">
        <v>3</v>
      </c>
      <c r="S117">
        <v>2</v>
      </c>
      <c r="T117">
        <v>2</v>
      </c>
      <c r="U117">
        <v>1</v>
      </c>
      <c r="V117">
        <v>3</v>
      </c>
      <c r="W117">
        <v>2</v>
      </c>
      <c r="X117">
        <v>2</v>
      </c>
      <c r="Y117">
        <v>2</v>
      </c>
      <c r="Z117">
        <v>2</v>
      </c>
      <c r="AA117">
        <v>0</v>
      </c>
      <c r="AB117">
        <v>0</v>
      </c>
      <c r="AC117">
        <v>0</v>
      </c>
      <c r="AD117">
        <v>1</v>
      </c>
      <c r="AE117">
        <v>0</v>
      </c>
      <c r="AF117">
        <f>SUMPRODUCT($B$1:$AE$1,B117:AE117)/SUM(B117:AE117)</f>
        <v>17.382352941176471</v>
      </c>
      <c r="AG117">
        <f>B117*(B$1-$AF117)^2</f>
        <v>0</v>
      </c>
      <c r="AH117">
        <f>C117*(C$1-$AF117)^2</f>
        <v>0</v>
      </c>
      <c r="AI117">
        <f>D117*(D$1-$AF117)^2</f>
        <v>0</v>
      </c>
      <c r="AJ117">
        <f>E117*(E$1-$AF117)^2</f>
        <v>0</v>
      </c>
      <c r="AK117">
        <f>F117*(F$1-$AF117)^2</f>
        <v>0</v>
      </c>
      <c r="AL117">
        <f>G117*(G$1-$AF117)^2</f>
        <v>0</v>
      </c>
      <c r="AM117">
        <f>H117*(H$1-$AF117)^2</f>
        <v>107.79325259515572</v>
      </c>
      <c r="AN117">
        <f>I117*(I$1-$AF117)^2</f>
        <v>88.028546712802779</v>
      </c>
      <c r="AO117">
        <f>J117*(J$1-$AF117)^2</f>
        <v>210.7915224913495</v>
      </c>
      <c r="AP117">
        <f>K117*(K$1-$AF117)^2</f>
        <v>0</v>
      </c>
      <c r="AQ117">
        <f>L117*(L$1-$AF117)^2</f>
        <v>40.734429065743953</v>
      </c>
      <c r="AR117">
        <f>M117*(M$1-$AF117)^2</f>
        <v>86.909169550173019</v>
      </c>
      <c r="AS117">
        <f>N117*(N$1-$AF117)^2</f>
        <v>0</v>
      </c>
      <c r="AT117">
        <f>O117*(O$1-$AF117)^2</f>
        <v>11.440311418685123</v>
      </c>
      <c r="AU117">
        <f>P117*(P$1-$AF117)^2</f>
        <v>5.6756055363321822</v>
      </c>
      <c r="AV117">
        <f>Q117*(Q$1-$AF117)^2</f>
        <v>5.7326989619377198</v>
      </c>
      <c r="AW117">
        <f>R117*(R$1-$AF117)^2</f>
        <v>0.43858131487889374</v>
      </c>
      <c r="AX117">
        <f>S117*(S$1-$AF117)^2</f>
        <v>0.76297577854671172</v>
      </c>
      <c r="AY117">
        <f>T117*(T$1-$AF117)^2</f>
        <v>5.2335640138408275</v>
      </c>
      <c r="AZ117">
        <f>U117*(U$1-$AF117)^2</f>
        <v>6.8520761245674722</v>
      </c>
      <c r="BA117">
        <f>V117*(V$1-$AF117)^2</f>
        <v>39.262110726643584</v>
      </c>
      <c r="BB117">
        <f>W117*(W$1-$AF117)^2</f>
        <v>42.645328719723175</v>
      </c>
      <c r="BC117">
        <f>X117*(X$1-$AF117)^2</f>
        <v>63.11591695501729</v>
      </c>
      <c r="BD117">
        <f>Y117*(Y$1-$AF117)^2</f>
        <v>87.586505190311414</v>
      </c>
      <c r="BE117">
        <f>Z117*(Z$1-$AF117)^2</f>
        <v>116.05709342560553</v>
      </c>
      <c r="BF117">
        <f>AA117*(AA$1-$AF117)^2</f>
        <v>0</v>
      </c>
      <c r="BG117">
        <f>AB117*(AB$1-$AF117)^2</f>
        <v>0</v>
      </c>
      <c r="BH117">
        <f>AC117*(AC$1-$AF117)^2</f>
        <v>0</v>
      </c>
      <c r="BI117">
        <f>AD117*(AD$1-$AF117)^2</f>
        <v>134.96972318339098</v>
      </c>
      <c r="BJ117">
        <f>AE117*(AE$1-$AF117)^2</f>
        <v>0</v>
      </c>
      <c r="BK117">
        <f>SQRT(SUM(AG117:BJ117)/SUM(B117:AE117))</f>
        <v>5.5678420462422515</v>
      </c>
      <c r="BL117">
        <f>_xlfn.FLOOR.MATH((AF117-BK117)/5)</f>
        <v>2</v>
      </c>
    </row>
    <row r="118" spans="1:64">
      <c r="A118" t="s">
        <v>391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2</v>
      </c>
      <c r="K118">
        <v>0</v>
      </c>
      <c r="L118">
        <v>0</v>
      </c>
      <c r="M118">
        <v>1</v>
      </c>
      <c r="N118">
        <v>3</v>
      </c>
      <c r="O118">
        <v>9</v>
      </c>
      <c r="P118">
        <v>5</v>
      </c>
      <c r="Q118">
        <v>11</v>
      </c>
      <c r="R118">
        <v>9</v>
      </c>
      <c r="S118">
        <v>3</v>
      </c>
      <c r="T118">
        <v>6</v>
      </c>
      <c r="U118">
        <v>6</v>
      </c>
      <c r="V118">
        <v>5</v>
      </c>
      <c r="W118">
        <v>4</v>
      </c>
      <c r="X118">
        <v>4</v>
      </c>
      <c r="Y118">
        <v>3</v>
      </c>
      <c r="Z118">
        <v>0</v>
      </c>
      <c r="AA118">
        <v>2</v>
      </c>
      <c r="AB118">
        <v>2</v>
      </c>
      <c r="AC118">
        <v>1</v>
      </c>
      <c r="AD118">
        <v>0</v>
      </c>
      <c r="AE118">
        <v>1</v>
      </c>
      <c r="AF118">
        <f>SUMPRODUCT($B$1:$AE$1,B118:AE118)/SUM(B118:AE118)</f>
        <v>18.153846153846153</v>
      </c>
      <c r="AG118">
        <f>B118*(B$1-$AF118)^2</f>
        <v>0</v>
      </c>
      <c r="AH118">
        <f>C118*(C$1-$AF118)^2</f>
        <v>0</v>
      </c>
      <c r="AI118">
        <f>D118*(D$1-$AF118)^2</f>
        <v>0</v>
      </c>
      <c r="AJ118">
        <f>E118*(E$1-$AF118)^2</f>
        <v>0</v>
      </c>
      <c r="AK118">
        <f>F118*(F$1-$AF118)^2</f>
        <v>0</v>
      </c>
      <c r="AL118">
        <f>G118*(G$1-$AF118)^2</f>
        <v>0</v>
      </c>
      <c r="AM118">
        <f>H118*(H$1-$AF118)^2</f>
        <v>0</v>
      </c>
      <c r="AN118">
        <f>I118*(I$1-$AF118)^2</f>
        <v>103.10059171597632</v>
      </c>
      <c r="AO118">
        <f>J118*(J$1-$AF118)^2</f>
        <v>167.58579881656803</v>
      </c>
      <c r="AP118">
        <f>K118*(K$1-$AF118)^2</f>
        <v>0</v>
      </c>
      <c r="AQ118">
        <f>L118*(L$1-$AF118)^2</f>
        <v>0</v>
      </c>
      <c r="AR118">
        <f>M118*(M$1-$AF118)^2</f>
        <v>37.869822485207095</v>
      </c>
      <c r="AS118">
        <f>N118*(N$1-$AF118)^2</f>
        <v>79.686390532544365</v>
      </c>
      <c r="AT118">
        <f>O118*(O$1-$AF118)^2</f>
        <v>155.28994082840234</v>
      </c>
      <c r="AU118">
        <f>P118*(P$1-$AF118)^2</f>
        <v>49.733727810650869</v>
      </c>
      <c r="AV118">
        <f>Q118*(Q$1-$AF118)^2</f>
        <v>51.029585798816548</v>
      </c>
      <c r="AW118">
        <f>R118*(R$1-$AF118)^2</f>
        <v>11.982248520710048</v>
      </c>
      <c r="AX118">
        <f>S118*(S$1-$AF118)^2</f>
        <v>7.1005917159762816E-2</v>
      </c>
      <c r="AY118">
        <f>T118*(T$1-$AF118)^2</f>
        <v>4.295857988165686</v>
      </c>
      <c r="AZ118">
        <f>U118*(U$1-$AF118)^2</f>
        <v>20.449704142011846</v>
      </c>
      <c r="BA118">
        <f>V118*(V$1-$AF118)^2</f>
        <v>40.502958579881671</v>
      </c>
      <c r="BB118">
        <f>W118*(W$1-$AF118)^2</f>
        <v>59.171597633136109</v>
      </c>
      <c r="BC118">
        <f>X118*(X$1-$AF118)^2</f>
        <v>93.94082840236689</v>
      </c>
      <c r="BD118">
        <f>Y118*(Y$1-$AF118)^2</f>
        <v>102.53254437869825</v>
      </c>
      <c r="BE118">
        <f>Z118*(Z$1-$AF118)^2</f>
        <v>0</v>
      </c>
      <c r="BF118">
        <f>AA118*(AA$1-$AF118)^2</f>
        <v>123.12426035502961</v>
      </c>
      <c r="BG118">
        <f>AB118*(AB$1-$AF118)^2</f>
        <v>156.50887573964499</v>
      </c>
      <c r="BH118">
        <f>AC118*(AC$1-$AF118)^2</f>
        <v>96.946745562130189</v>
      </c>
      <c r="BI118">
        <f>AD118*(AD$1-$AF118)^2</f>
        <v>0</v>
      </c>
      <c r="BJ118">
        <f>AE118*(AE$1-$AF118)^2</f>
        <v>140.33136094674558</v>
      </c>
      <c r="BK118">
        <f>SQRT(SUM(AG118:BJ118)/SUM(B118:AE118))</f>
        <v>4.3767360601747427</v>
      </c>
      <c r="BL118">
        <f>_xlfn.FLOOR.MATH((AF118-BK118)/5)</f>
        <v>2</v>
      </c>
    </row>
    <row r="119" spans="1:64">
      <c r="A119" t="s">
        <v>392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f>SUMPRODUCT($B$1:$AE$1,B119:AE119)/SUM(B119:AE119)</f>
        <v>23.5</v>
      </c>
      <c r="AG119">
        <f>B119*(B$1-$AF119)^2</f>
        <v>0</v>
      </c>
      <c r="AH119">
        <f>C119*(C$1-$AF119)^2</f>
        <v>0</v>
      </c>
      <c r="AI119">
        <f>D119*(D$1-$AF119)^2</f>
        <v>0</v>
      </c>
      <c r="AJ119">
        <f>E119*(E$1-$AF119)^2</f>
        <v>0</v>
      </c>
      <c r="AK119">
        <f>F119*(F$1-$AF119)^2</f>
        <v>0</v>
      </c>
      <c r="AL119">
        <f>G119*(G$1-$AF119)^2</f>
        <v>0</v>
      </c>
      <c r="AM119">
        <f>H119*(H$1-$AF119)^2</f>
        <v>0</v>
      </c>
      <c r="AN119">
        <f>I119*(I$1-$AF119)^2</f>
        <v>0</v>
      </c>
      <c r="AO119">
        <f>J119*(J$1-$AF119)^2</f>
        <v>0</v>
      </c>
      <c r="AP119">
        <f>K119*(K$1-$AF119)^2</f>
        <v>0</v>
      </c>
      <c r="AQ119">
        <f>L119*(L$1-$AF119)^2</f>
        <v>0</v>
      </c>
      <c r="AR119">
        <f>M119*(M$1-$AF119)^2</f>
        <v>0</v>
      </c>
      <c r="AS119">
        <f>N119*(N$1-$AF119)^2</f>
        <v>0</v>
      </c>
      <c r="AT119">
        <f>O119*(O$1-$AF119)^2</f>
        <v>0</v>
      </c>
      <c r="AU119">
        <f>P119*(P$1-$AF119)^2</f>
        <v>0</v>
      </c>
      <c r="AV119">
        <f>Q119*(Q$1-$AF119)^2</f>
        <v>0</v>
      </c>
      <c r="AW119">
        <f>R119*(R$1-$AF119)^2</f>
        <v>0</v>
      </c>
      <c r="AX119">
        <f>S119*(S$1-$AF119)^2</f>
        <v>0</v>
      </c>
      <c r="AY119">
        <f>T119*(T$1-$AF119)^2</f>
        <v>0</v>
      </c>
      <c r="AZ119">
        <f>U119*(U$1-$AF119)^2</f>
        <v>0</v>
      </c>
      <c r="BA119">
        <f>V119*(V$1-$AF119)^2</f>
        <v>0</v>
      </c>
      <c r="BB119">
        <f>W119*(W$1-$AF119)^2</f>
        <v>0</v>
      </c>
      <c r="BC119">
        <f>X119*(X$1-$AF119)^2</f>
        <v>0.25</v>
      </c>
      <c r="BD119">
        <f>Y119*(Y$1-$AF119)^2</f>
        <v>0.25</v>
      </c>
      <c r="BE119">
        <f>Z119*(Z$1-$AF119)^2</f>
        <v>0</v>
      </c>
      <c r="BF119">
        <f>AA119*(AA$1-$AF119)^2</f>
        <v>0</v>
      </c>
      <c r="BG119">
        <f>AB119*(AB$1-$AF119)^2</f>
        <v>0</v>
      </c>
      <c r="BH119">
        <f>AC119*(AC$1-$AF119)^2</f>
        <v>0</v>
      </c>
      <c r="BI119">
        <f>AD119*(AD$1-$AF119)^2</f>
        <v>0</v>
      </c>
      <c r="BJ119">
        <f>AE119*(AE$1-$AF119)^2</f>
        <v>0</v>
      </c>
      <c r="BK119">
        <f>SQRT(SUM(AG119:BJ119)/SUM(B119:AE119))</f>
        <v>0.5</v>
      </c>
      <c r="BL119">
        <f>_xlfn.FLOOR.MATH((AF119-BK119)/5)</f>
        <v>4</v>
      </c>
    </row>
    <row r="120" spans="1:64">
      <c r="A120" t="s">
        <v>393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2</v>
      </c>
      <c r="R120">
        <v>1</v>
      </c>
      <c r="S120">
        <v>2</v>
      </c>
      <c r="T120">
        <v>0</v>
      </c>
      <c r="U120">
        <v>1</v>
      </c>
      <c r="V120">
        <v>2</v>
      </c>
      <c r="W120">
        <v>3</v>
      </c>
      <c r="X120">
        <v>1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f>SUMPRODUCT($B$1:$AE$1,B120:AE120)/SUM(B120:AE120)</f>
        <v>20.076923076923077</v>
      </c>
      <c r="AG120">
        <f>B120*(B$1-$AF120)^2</f>
        <v>0</v>
      </c>
      <c r="AH120">
        <f>C120*(C$1-$AF120)^2</f>
        <v>0</v>
      </c>
      <c r="AI120">
        <f>D120*(D$1-$AF120)^2</f>
        <v>0</v>
      </c>
      <c r="AJ120">
        <f>E120*(E$1-$AF120)^2</f>
        <v>0</v>
      </c>
      <c r="AK120">
        <f>F120*(F$1-$AF120)^2</f>
        <v>0</v>
      </c>
      <c r="AL120">
        <f>G120*(G$1-$AF120)^2</f>
        <v>0</v>
      </c>
      <c r="AM120">
        <f>H120*(H$1-$AF120)^2</f>
        <v>0</v>
      </c>
      <c r="AN120">
        <f>I120*(I$1-$AF120)^2</f>
        <v>0</v>
      </c>
      <c r="AO120">
        <f>J120*(J$1-$AF120)^2</f>
        <v>0</v>
      </c>
      <c r="AP120">
        <f>K120*(K$1-$AF120)^2</f>
        <v>0</v>
      </c>
      <c r="AQ120">
        <f>L120*(L$1-$AF120)^2</f>
        <v>0</v>
      </c>
      <c r="AR120">
        <f>M120*(M$1-$AF120)^2</f>
        <v>0</v>
      </c>
      <c r="AS120">
        <f>N120*(N$1-$AF120)^2</f>
        <v>0</v>
      </c>
      <c r="AT120">
        <f>O120*(O$1-$AF120)^2</f>
        <v>0</v>
      </c>
      <c r="AU120">
        <f>P120*(P$1-$AF120)^2</f>
        <v>0</v>
      </c>
      <c r="AV120">
        <f>Q120*(Q$1-$AF120)^2</f>
        <v>33.242603550295854</v>
      </c>
      <c r="AW120">
        <f>R120*(R$1-$AF120)^2</f>
        <v>9.4674556213017738</v>
      </c>
      <c r="AX120">
        <f>S120*(S$1-$AF120)^2</f>
        <v>8.6272189349112409</v>
      </c>
      <c r="AY120">
        <f>T120*(T$1-$AF120)^2</f>
        <v>0</v>
      </c>
      <c r="AZ120">
        <f>U120*(U$1-$AF120)^2</f>
        <v>5.9171597633135677E-3</v>
      </c>
      <c r="BA120">
        <f>V120*(V$1-$AF120)^2</f>
        <v>1.7041420118343205</v>
      </c>
      <c r="BB120">
        <f>W120*(W$1-$AF120)^2</f>
        <v>11.09467455621302</v>
      </c>
      <c r="BC120">
        <f>X120*(X$1-$AF120)^2</f>
        <v>8.544378698224854</v>
      </c>
      <c r="BD120">
        <f>Y120*(Y$1-$AF120)^2</f>
        <v>0</v>
      </c>
      <c r="BE120">
        <f>Z120*(Z$1-$AF120)^2</f>
        <v>24.236686390532547</v>
      </c>
      <c r="BF120">
        <f>AA120*(AA$1-$AF120)^2</f>
        <v>0</v>
      </c>
      <c r="BG120">
        <f>AB120*(AB$1-$AF120)^2</f>
        <v>0</v>
      </c>
      <c r="BH120">
        <f>AC120*(AC$1-$AF120)^2</f>
        <v>0</v>
      </c>
      <c r="BI120">
        <f>AD120*(AD$1-$AF120)^2</f>
        <v>0</v>
      </c>
      <c r="BJ120">
        <f>AE120*(AE$1-$AF120)^2</f>
        <v>0</v>
      </c>
      <c r="BK120">
        <f>SQRT(SUM(AG120:BJ120)/SUM(B120:AE120))</f>
        <v>2.730498361430592</v>
      </c>
      <c r="BL120">
        <f>_xlfn.FLOOR.MATH((AF120-BK120)/5)</f>
        <v>3</v>
      </c>
    </row>
    <row r="121" spans="1:64">
      <c r="A121" t="s">
        <v>394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0</v>
      </c>
      <c r="Z121">
        <v>0</v>
      </c>
      <c r="AA121">
        <v>1</v>
      </c>
      <c r="AB121">
        <v>0</v>
      </c>
      <c r="AC121">
        <v>0</v>
      </c>
      <c r="AD121">
        <v>0</v>
      </c>
      <c r="AE121">
        <v>0</v>
      </c>
      <c r="AF121">
        <f>SUMPRODUCT($B$1:$AE$1,B121:AE121)/SUM(B121:AE121)</f>
        <v>18.666666666666668</v>
      </c>
      <c r="AG121">
        <f>B121*(B$1-$AF121)^2</f>
        <v>0</v>
      </c>
      <c r="AH121">
        <f>C121*(C$1-$AF121)^2</f>
        <v>0</v>
      </c>
      <c r="AI121">
        <f>D121*(D$1-$AF121)^2</f>
        <v>0</v>
      </c>
      <c r="AJ121">
        <f>E121*(E$1-$AF121)^2</f>
        <v>0</v>
      </c>
      <c r="AK121">
        <f>F121*(F$1-$AF121)^2</f>
        <v>0</v>
      </c>
      <c r="AL121">
        <f>G121*(G$1-$AF121)^2</f>
        <v>0</v>
      </c>
      <c r="AM121">
        <f>H121*(H$1-$AF121)^2</f>
        <v>0</v>
      </c>
      <c r="AN121">
        <f>I121*(I$1-$AF121)^2</f>
        <v>113.7777777777778</v>
      </c>
      <c r="AO121">
        <f>J121*(J$1-$AF121)^2</f>
        <v>0</v>
      </c>
      <c r="AP121">
        <f>K121*(K$1-$AF121)^2</f>
        <v>0</v>
      </c>
      <c r="AQ121">
        <f>L121*(L$1-$AF121)^2</f>
        <v>0</v>
      </c>
      <c r="AR121">
        <f>M121*(M$1-$AF121)^2</f>
        <v>0</v>
      </c>
      <c r="AS121">
        <f>N121*(N$1-$AF121)^2</f>
        <v>0</v>
      </c>
      <c r="AT121">
        <f>O121*(O$1-$AF121)^2</f>
        <v>0</v>
      </c>
      <c r="AU121">
        <f>P121*(P$1-$AF121)^2</f>
        <v>0</v>
      </c>
      <c r="AV121">
        <f>Q121*(Q$1-$AF121)^2</f>
        <v>0</v>
      </c>
      <c r="AW121">
        <f>R121*(R$1-$AF121)^2</f>
        <v>0</v>
      </c>
      <c r="AX121">
        <f>S121*(S$1-$AF121)^2</f>
        <v>0</v>
      </c>
      <c r="AY121">
        <f>T121*(T$1-$AF121)^2</f>
        <v>0</v>
      </c>
      <c r="AZ121">
        <f>U121*(U$1-$AF121)^2</f>
        <v>0</v>
      </c>
      <c r="BA121">
        <f>V121*(V$1-$AF121)^2</f>
        <v>0</v>
      </c>
      <c r="BB121">
        <f>W121*(W$1-$AF121)^2</f>
        <v>11.111111111111104</v>
      </c>
      <c r="BC121">
        <f>X121*(X$1-$AF121)^2</f>
        <v>0</v>
      </c>
      <c r="BD121">
        <f>Y121*(Y$1-$AF121)^2</f>
        <v>0</v>
      </c>
      <c r="BE121">
        <f>Z121*(Z$1-$AF121)^2</f>
        <v>0</v>
      </c>
      <c r="BF121">
        <f>AA121*(AA$1-$AF121)^2</f>
        <v>53.777777777777757</v>
      </c>
      <c r="BG121">
        <f>AB121*(AB$1-$AF121)^2</f>
        <v>0</v>
      </c>
      <c r="BH121">
        <f>AC121*(AC$1-$AF121)^2</f>
        <v>0</v>
      </c>
      <c r="BI121">
        <f>AD121*(AD$1-$AF121)^2</f>
        <v>0</v>
      </c>
      <c r="BJ121">
        <f>AE121*(AE$1-$AF121)^2</f>
        <v>0</v>
      </c>
      <c r="BK121">
        <f>SQRT(SUM(AG121:BJ121)/SUM(B121:AE121))</f>
        <v>7.71722460186015</v>
      </c>
      <c r="BL121">
        <f>_xlfn.FLOOR.MATH((AF121-BK121)/5)</f>
        <v>2</v>
      </c>
    </row>
    <row r="122" spans="1:64">
      <c r="A122" t="s">
        <v>395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5</v>
      </c>
      <c r="R122">
        <v>2</v>
      </c>
      <c r="S122">
        <v>4</v>
      </c>
      <c r="T122">
        <v>2</v>
      </c>
      <c r="U122">
        <v>3</v>
      </c>
      <c r="V122">
        <v>2</v>
      </c>
      <c r="W122">
        <v>2</v>
      </c>
      <c r="X122">
        <v>2</v>
      </c>
      <c r="Y122">
        <v>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f>SUMPRODUCT($B$1:$AE$1,B122:AE122)/SUM(B122:AE122)</f>
        <v>19.130434782608695</v>
      </c>
      <c r="AG122">
        <f>B122*(B$1-$AF122)^2</f>
        <v>0</v>
      </c>
      <c r="AH122">
        <f>C122*(C$1-$AF122)^2</f>
        <v>0</v>
      </c>
      <c r="AI122">
        <f>D122*(D$1-$AF122)^2</f>
        <v>0</v>
      </c>
      <c r="AJ122">
        <f>E122*(E$1-$AF122)^2</f>
        <v>0</v>
      </c>
      <c r="AK122">
        <f>F122*(F$1-$AF122)^2</f>
        <v>0</v>
      </c>
      <c r="AL122">
        <f>G122*(G$1-$AF122)^2</f>
        <v>0</v>
      </c>
      <c r="AM122">
        <f>H122*(H$1-$AF122)^2</f>
        <v>0</v>
      </c>
      <c r="AN122">
        <f>I122*(I$1-$AF122)^2</f>
        <v>0</v>
      </c>
      <c r="AO122">
        <f>J122*(J$1-$AF122)^2</f>
        <v>0</v>
      </c>
      <c r="AP122">
        <f>K122*(K$1-$AF122)^2</f>
        <v>0</v>
      </c>
      <c r="AQ122">
        <f>L122*(L$1-$AF122)^2</f>
        <v>0</v>
      </c>
      <c r="AR122">
        <f>M122*(M$1-$AF122)^2</f>
        <v>0</v>
      </c>
      <c r="AS122">
        <f>N122*(N$1-$AF122)^2</f>
        <v>0</v>
      </c>
      <c r="AT122">
        <f>O122*(O$1-$AF122)^2</f>
        <v>0</v>
      </c>
      <c r="AU122">
        <f>P122*(P$1-$AF122)^2</f>
        <v>0</v>
      </c>
      <c r="AV122">
        <f>Q122*(Q$1-$AF122)^2</f>
        <v>48.998109640831743</v>
      </c>
      <c r="AW122">
        <f>R122*(R$1-$AF122)^2</f>
        <v>9.0775047258979171</v>
      </c>
      <c r="AX122">
        <f>S122*(S$1-$AF122)^2</f>
        <v>5.1115311909262733</v>
      </c>
      <c r="AY122">
        <f>T122*(T$1-$AF122)^2</f>
        <v>3.4026465028355227E-2</v>
      </c>
      <c r="AZ122">
        <f>U122*(U$1-$AF122)^2</f>
        <v>2.2684310018903608</v>
      </c>
      <c r="BA122">
        <f>V122*(V$1-$AF122)^2</f>
        <v>6.9905482041587925</v>
      </c>
      <c r="BB122">
        <f>W122*(W$1-$AF122)^2</f>
        <v>16.46880907372401</v>
      </c>
      <c r="BC122">
        <f>X122*(X$1-$AF122)^2</f>
        <v>29.947069943289229</v>
      </c>
      <c r="BD122">
        <f>Y122*(Y$1-$AF122)^2</f>
        <v>23.712665406427224</v>
      </c>
      <c r="BE122">
        <f>Z122*(Z$1-$AF122)^2</f>
        <v>0</v>
      </c>
      <c r="BF122">
        <f>AA122*(AA$1-$AF122)^2</f>
        <v>0</v>
      </c>
      <c r="BG122">
        <f>AB122*(AB$1-$AF122)^2</f>
        <v>0</v>
      </c>
      <c r="BH122">
        <f>AC122*(AC$1-$AF122)^2</f>
        <v>0</v>
      </c>
      <c r="BI122">
        <f>AD122*(AD$1-$AF122)^2</f>
        <v>0</v>
      </c>
      <c r="BJ122">
        <f>AE122*(AE$1-$AF122)^2</f>
        <v>0</v>
      </c>
      <c r="BK122">
        <f>SQRT(SUM(AG122:BJ122)/SUM(B122:AE122))</f>
        <v>2.4900558370915395</v>
      </c>
      <c r="BL122">
        <f>_xlfn.FLOOR.MATH((AF122-BK122)/5)</f>
        <v>3</v>
      </c>
    </row>
    <row r="123" spans="1:64">
      <c r="A123" t="s">
        <v>396</v>
      </c>
      <c r="B123">
        <v>84</v>
      </c>
      <c r="C123">
        <v>165</v>
      </c>
      <c r="D123">
        <v>432</v>
      </c>
      <c r="E123">
        <v>381</v>
      </c>
      <c r="F123">
        <v>292</v>
      </c>
      <c r="G123">
        <v>222</v>
      </c>
      <c r="H123">
        <v>235</v>
      </c>
      <c r="I123">
        <v>255</v>
      </c>
      <c r="J123">
        <v>237</v>
      </c>
      <c r="K123">
        <v>242</v>
      </c>
      <c r="L123">
        <v>210</v>
      </c>
      <c r="M123">
        <v>273</v>
      </c>
      <c r="N123">
        <v>259</v>
      </c>
      <c r="O123">
        <v>241</v>
      </c>
      <c r="P123">
        <v>243</v>
      </c>
      <c r="Q123">
        <v>273</v>
      </c>
      <c r="R123">
        <v>247</v>
      </c>
      <c r="S123">
        <v>278</v>
      </c>
      <c r="T123">
        <v>216</v>
      </c>
      <c r="U123">
        <v>207</v>
      </c>
      <c r="V123">
        <v>215</v>
      </c>
      <c r="W123">
        <v>182</v>
      </c>
      <c r="X123">
        <v>129</v>
      </c>
      <c r="Y123">
        <v>114</v>
      </c>
      <c r="Z123">
        <v>84</v>
      </c>
      <c r="AA123">
        <v>70</v>
      </c>
      <c r="AB123">
        <v>43</v>
      </c>
      <c r="AC123">
        <v>29</v>
      </c>
      <c r="AD123">
        <v>8</v>
      </c>
      <c r="AE123">
        <v>9</v>
      </c>
      <c r="AF123">
        <f>SUMPRODUCT($B$1:$AE$1,B123:AE123)/SUM(B123:AE123)</f>
        <v>12.369021276595745</v>
      </c>
      <c r="AG123">
        <f>B123*(B$1-$AF123)^2</f>
        <v>10857.390162165686</v>
      </c>
      <c r="AH123">
        <f>C123*(C$1-$AF123)^2</f>
        <v>17740.23936869172</v>
      </c>
      <c r="AI123">
        <f>D123*(D$1-$AF123)^2</f>
        <v>37920.337782323229</v>
      </c>
      <c r="AJ123">
        <f>E123*(E$1-$AF123)^2</f>
        <v>26685.437025810781</v>
      </c>
      <c r="AK123">
        <f>F123*(F$1-$AF123)^2</f>
        <v>15856.322575876869</v>
      </c>
      <c r="AL123">
        <f>G123*(G$1-$AF123)^2</f>
        <v>9005.3039088239038</v>
      </c>
      <c r="AM123">
        <f>H123*(H$1-$AF123)^2</f>
        <v>6774.2015251063849</v>
      </c>
      <c r="AN123">
        <f>I123*(I$1-$AF123)^2</f>
        <v>4867.5284634133113</v>
      </c>
      <c r="AO123">
        <f>J123*(J$1-$AF123)^2</f>
        <v>2690.0221338306937</v>
      </c>
      <c r="AP123">
        <f>K123*(K$1-$AF123)^2</f>
        <v>1358.1673577691272</v>
      </c>
      <c r="AQ123">
        <f>L123*(L$1-$AF123)^2</f>
        <v>393.58604371208736</v>
      </c>
      <c r="AR123">
        <f>M123*(M$1-$AF123)^2</f>
        <v>37.176239804436548</v>
      </c>
      <c r="AS123">
        <f>N123*(N$1-$AF123)^2</f>
        <v>103.11674469171545</v>
      </c>
      <c r="AT123">
        <f>O123*(O$1-$AF123)^2</f>
        <v>641.08207468356659</v>
      </c>
      <c r="AU123">
        <f>P123*(P$1-$AF123)^2</f>
        <v>1682.0579174504292</v>
      </c>
      <c r="AV123">
        <f>Q123*(Q$1-$AF123)^2</f>
        <v>3599.2337717193286</v>
      </c>
      <c r="AW123">
        <f>R123*(R$1-$AF123)^2</f>
        <v>5297.1530923458558</v>
      </c>
      <c r="AX123">
        <f>S123*(S$1-$AF123)^2</f>
        <v>8814.8021445939321</v>
      </c>
      <c r="AY123">
        <f>T123*(T$1-$AF123)^2</f>
        <v>9497.4938273318221</v>
      </c>
      <c r="AZ123">
        <f>U123*(U$1-$AF123)^2</f>
        <v>12053.990109349024</v>
      </c>
      <c r="BA123">
        <f>V123*(V$1-$AF123)^2</f>
        <v>16016.165650629242</v>
      </c>
      <c r="BB123">
        <f>W123*(W$1-$AF123)^2</f>
        <v>16881.54671306111</v>
      </c>
      <c r="BC123">
        <f>X123*(X$1-$AF123)^2</f>
        <v>14579.28441165414</v>
      </c>
      <c r="BD123">
        <f>Y123*(Y$1-$AF123)^2</f>
        <v>15421.8819313282</v>
      </c>
      <c r="BE123">
        <f>Z123*(Z$1-$AF123)^2</f>
        <v>13401.496374931641</v>
      </c>
      <c r="BF123">
        <f>AA123*(AA$1-$AF123)^2</f>
        <v>13006.250667052964</v>
      </c>
      <c r="BG123">
        <f>AB123*(AB$1-$AF123)^2</f>
        <v>9204.8181514024436</v>
      </c>
      <c r="BH123">
        <f>AC123*(AC$1-$AF123)^2</f>
        <v>7085.4973796939785</v>
      </c>
      <c r="BI123">
        <f>AD123*(AD$1-$AF123)^2</f>
        <v>2212.7156263866</v>
      </c>
      <c r="BJ123">
        <f>AE123*(AE$1-$AF123)^2</f>
        <v>2797.662696706202</v>
      </c>
      <c r="BK123">
        <f>SQRT(SUM(AG123:BJ123)/SUM(B123:AE123))</f>
        <v>6.9830428272499434</v>
      </c>
      <c r="BL123">
        <f>_xlfn.FLOOR.MATH((AF123-BK123)/5)</f>
        <v>1</v>
      </c>
    </row>
    <row r="124" spans="1:64">
      <c r="A124" t="s">
        <v>397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0</v>
      </c>
      <c r="AA124">
        <v>0</v>
      </c>
      <c r="AB124">
        <v>10</v>
      </c>
      <c r="AC124">
        <v>1</v>
      </c>
      <c r="AD124">
        <v>1</v>
      </c>
      <c r="AE124">
        <v>0</v>
      </c>
      <c r="AF124">
        <f>SUMPRODUCT($B$1:$AE$1,B124:AE124)/SUM(B124:AE124)</f>
        <v>27</v>
      </c>
      <c r="AG124">
        <f>B124*(B$1-$AF124)^2</f>
        <v>0</v>
      </c>
      <c r="AH124">
        <f>C124*(C$1-$AF124)^2</f>
        <v>0</v>
      </c>
      <c r="AI124">
        <f>D124*(D$1-$AF124)^2</f>
        <v>0</v>
      </c>
      <c r="AJ124">
        <f>E124*(E$1-$AF124)^2</f>
        <v>0</v>
      </c>
      <c r="AK124">
        <f>F124*(F$1-$AF124)^2</f>
        <v>0</v>
      </c>
      <c r="AL124">
        <f>G124*(G$1-$AF124)^2</f>
        <v>0</v>
      </c>
      <c r="AM124">
        <f>H124*(H$1-$AF124)^2</f>
        <v>0</v>
      </c>
      <c r="AN124">
        <f>I124*(I$1-$AF124)^2</f>
        <v>0</v>
      </c>
      <c r="AO124">
        <f>J124*(J$1-$AF124)^2</f>
        <v>0</v>
      </c>
      <c r="AP124">
        <f>K124*(K$1-$AF124)^2</f>
        <v>0</v>
      </c>
      <c r="AQ124">
        <f>L124*(L$1-$AF124)^2</f>
        <v>0</v>
      </c>
      <c r="AR124">
        <f>M124*(M$1-$AF124)^2</f>
        <v>0</v>
      </c>
      <c r="AS124">
        <f>N124*(N$1-$AF124)^2</f>
        <v>0</v>
      </c>
      <c r="AT124">
        <f>O124*(O$1-$AF124)^2</f>
        <v>0</v>
      </c>
      <c r="AU124">
        <f>P124*(P$1-$AF124)^2</f>
        <v>0</v>
      </c>
      <c r="AV124">
        <f>Q124*(Q$1-$AF124)^2</f>
        <v>0</v>
      </c>
      <c r="AW124">
        <f>R124*(R$1-$AF124)^2</f>
        <v>0</v>
      </c>
      <c r="AX124">
        <f>S124*(S$1-$AF124)^2</f>
        <v>0</v>
      </c>
      <c r="AY124">
        <f>T124*(T$1-$AF124)^2</f>
        <v>0</v>
      </c>
      <c r="AZ124">
        <f>U124*(U$1-$AF124)^2</f>
        <v>0</v>
      </c>
      <c r="BA124">
        <f>V124*(V$1-$AF124)^2</f>
        <v>0</v>
      </c>
      <c r="BB124">
        <f>W124*(W$1-$AF124)^2</f>
        <v>0</v>
      </c>
      <c r="BC124">
        <f>X124*(X$1-$AF124)^2</f>
        <v>0</v>
      </c>
      <c r="BD124">
        <f>Y124*(Y$1-$AF124)^2</f>
        <v>9</v>
      </c>
      <c r="BE124">
        <f>Z124*(Z$1-$AF124)^2</f>
        <v>0</v>
      </c>
      <c r="BF124">
        <f>AA124*(AA$1-$AF124)^2</f>
        <v>0</v>
      </c>
      <c r="BG124">
        <f>AB124*(AB$1-$AF124)^2</f>
        <v>0</v>
      </c>
      <c r="BH124">
        <f>AC124*(AC$1-$AF124)^2</f>
        <v>1</v>
      </c>
      <c r="BI124">
        <f>AD124*(AD$1-$AF124)^2</f>
        <v>4</v>
      </c>
      <c r="BJ124">
        <f>AE124*(AE$1-$AF124)^2</f>
        <v>0</v>
      </c>
      <c r="BK124">
        <f>SQRT(SUM(AG124:BJ124)/SUM(B124:AE124))</f>
        <v>1.0377490433255416</v>
      </c>
      <c r="BL124">
        <f>_xlfn.FLOOR.MATH((AF124-BK124)/5)</f>
        <v>5</v>
      </c>
    </row>
    <row r="125" spans="1:64">
      <c r="A125" t="s">
        <v>398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</v>
      </c>
      <c r="Q125">
        <v>1</v>
      </c>
      <c r="R125">
        <v>1</v>
      </c>
      <c r="S125">
        <v>17</v>
      </c>
      <c r="T125">
        <v>17</v>
      </c>
      <c r="U125">
        <v>12</v>
      </c>
      <c r="V125">
        <v>16</v>
      </c>
      <c r="W125">
        <v>11</v>
      </c>
      <c r="X125">
        <v>7</v>
      </c>
      <c r="Y125">
        <v>3</v>
      </c>
      <c r="Z125">
        <v>14</v>
      </c>
      <c r="AA125">
        <v>5</v>
      </c>
      <c r="AB125">
        <v>1</v>
      </c>
      <c r="AC125">
        <v>1</v>
      </c>
      <c r="AD125">
        <v>1</v>
      </c>
      <c r="AE125">
        <v>1</v>
      </c>
      <c r="AF125">
        <f>SUMPRODUCT($B$1:$AE$1,B125:AE125)/SUM(B125:AE125)</f>
        <v>21.302752293577981</v>
      </c>
      <c r="AG125">
        <f>B125*(B$1-$AF125)^2</f>
        <v>0</v>
      </c>
      <c r="AH125">
        <f>C125*(C$1-$AF125)^2</f>
        <v>0</v>
      </c>
      <c r="AI125">
        <f>D125*(D$1-$AF125)^2</f>
        <v>0</v>
      </c>
      <c r="AJ125">
        <f>E125*(E$1-$AF125)^2</f>
        <v>0</v>
      </c>
      <c r="AK125">
        <f>F125*(F$1-$AF125)^2</f>
        <v>0</v>
      </c>
      <c r="AL125">
        <f>G125*(G$1-$AF125)^2</f>
        <v>0</v>
      </c>
      <c r="AM125">
        <f>H125*(H$1-$AF125)^2</f>
        <v>0</v>
      </c>
      <c r="AN125">
        <f>I125*(I$1-$AF125)^2</f>
        <v>0</v>
      </c>
      <c r="AO125">
        <f>J125*(J$1-$AF125)^2</f>
        <v>0</v>
      </c>
      <c r="AP125">
        <f>K125*(K$1-$AF125)^2</f>
        <v>0</v>
      </c>
      <c r="AQ125">
        <f>L125*(L$1-$AF125)^2</f>
        <v>0</v>
      </c>
      <c r="AR125">
        <f>M125*(M$1-$AF125)^2</f>
        <v>0</v>
      </c>
      <c r="AS125">
        <f>N125*(N$1-$AF125)^2</f>
        <v>0</v>
      </c>
      <c r="AT125">
        <f>O125*(O$1-$AF125)^2</f>
        <v>0</v>
      </c>
      <c r="AU125">
        <f>P125*(P$1-$AF125)^2</f>
        <v>39.724686474202507</v>
      </c>
      <c r="AV125">
        <f>Q125*(Q$1-$AF125)^2</f>
        <v>28.11918188704654</v>
      </c>
      <c r="AW125">
        <f>R125*(R$1-$AF125)^2</f>
        <v>18.513677299890578</v>
      </c>
      <c r="AX125">
        <f>S125*(S$1-$AF125)^2</f>
        <v>185.43893611648849</v>
      </c>
      <c r="AY125">
        <f>T125*(T$1-$AF125)^2</f>
        <v>90.14535813483711</v>
      </c>
      <c r="AZ125">
        <f>U125*(U$1-$AF125)^2</f>
        <v>20.365962461072293</v>
      </c>
      <c r="BA125">
        <f>V125*(V$1-$AF125)^2</f>
        <v>1.4665432202676516</v>
      </c>
      <c r="BB125">
        <f>W125*(W$1-$AF125)^2</f>
        <v>5.3476980052184198</v>
      </c>
      <c r="BC125">
        <f>X125*(X$1-$AF125)^2</f>
        <v>20.164548438683617</v>
      </c>
      <c r="BD125">
        <f>Y125*(Y$1-$AF125)^2</f>
        <v>21.825435569396518</v>
      </c>
      <c r="BE125">
        <f>Z125*(Z$1-$AF125)^2</f>
        <v>191.37496843700029</v>
      </c>
      <c r="BF125">
        <f>AA125*(AA$1-$AF125)^2</f>
        <v>110.32068007743456</v>
      </c>
      <c r="BG125">
        <f>AB125*(AB$1-$AF125)^2</f>
        <v>32.458631428330953</v>
      </c>
      <c r="BH125">
        <f>AC125*(AC$1-$AF125)^2</f>
        <v>44.853126841174991</v>
      </c>
      <c r="BI125">
        <f>AD125*(AD$1-$AF125)^2</f>
        <v>59.247622254019028</v>
      </c>
      <c r="BJ125">
        <f>AE125*(AE$1-$AF125)^2</f>
        <v>75.642117666863058</v>
      </c>
      <c r="BK125">
        <f>SQRT(SUM(AG125:BJ125)/SUM(B125:AE125))</f>
        <v>2.9444539287687164</v>
      </c>
      <c r="BL125">
        <f>_xlfn.FLOOR.MATH((AF125-BK125)/5)</f>
        <v>3</v>
      </c>
    </row>
    <row r="126" spans="1:64">
      <c r="A126" t="s">
        <v>399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3</v>
      </c>
      <c r="T126">
        <v>5</v>
      </c>
      <c r="U126">
        <v>5</v>
      </c>
      <c r="V126">
        <v>1</v>
      </c>
      <c r="W126">
        <v>3</v>
      </c>
      <c r="X126">
        <v>1</v>
      </c>
      <c r="Y126">
        <v>1</v>
      </c>
      <c r="Z126">
        <v>0</v>
      </c>
      <c r="AA126">
        <v>1</v>
      </c>
      <c r="AB126">
        <v>2</v>
      </c>
      <c r="AC126">
        <v>0</v>
      </c>
      <c r="AD126">
        <v>0</v>
      </c>
      <c r="AE126">
        <v>0</v>
      </c>
      <c r="AF126">
        <f>SUMPRODUCT($B$1:$AE$1,B126:AE126)/SUM(B126:AE126)</f>
        <v>20.869565217391305</v>
      </c>
      <c r="AG126">
        <f>B126*(B$1-$AF126)^2</f>
        <v>0</v>
      </c>
      <c r="AH126">
        <f>C126*(C$1-$AF126)^2</f>
        <v>0</v>
      </c>
      <c r="AI126">
        <f>D126*(D$1-$AF126)^2</f>
        <v>0</v>
      </c>
      <c r="AJ126">
        <f>E126*(E$1-$AF126)^2</f>
        <v>0</v>
      </c>
      <c r="AK126">
        <f>F126*(F$1-$AF126)^2</f>
        <v>0</v>
      </c>
      <c r="AL126">
        <f>G126*(G$1-$AF126)^2</f>
        <v>0</v>
      </c>
      <c r="AM126">
        <f>H126*(H$1-$AF126)^2</f>
        <v>0</v>
      </c>
      <c r="AN126">
        <f>I126*(I$1-$AF126)^2</f>
        <v>0</v>
      </c>
      <c r="AO126">
        <f>J126*(J$1-$AF126)^2</f>
        <v>0</v>
      </c>
      <c r="AP126">
        <f>K126*(K$1-$AF126)^2</f>
        <v>0</v>
      </c>
      <c r="AQ126">
        <f>L126*(L$1-$AF126)^2</f>
        <v>0</v>
      </c>
      <c r="AR126">
        <f>M126*(M$1-$AF126)^2</f>
        <v>0</v>
      </c>
      <c r="AS126">
        <f>N126*(N$1-$AF126)^2</f>
        <v>0</v>
      </c>
      <c r="AT126">
        <f>O126*(O$1-$AF126)^2</f>
        <v>0</v>
      </c>
      <c r="AU126">
        <f>P126*(P$1-$AF126)^2</f>
        <v>0</v>
      </c>
      <c r="AV126">
        <f>Q126*(Q$1-$AF126)^2</f>
        <v>0</v>
      </c>
      <c r="AW126">
        <f>R126*(R$1-$AF126)^2</f>
        <v>14.973534971644614</v>
      </c>
      <c r="AX126">
        <f>S126*(S$1-$AF126)^2</f>
        <v>24.703213610586015</v>
      </c>
      <c r="AY126">
        <f>T126*(T$1-$AF126)^2</f>
        <v>17.476370510396983</v>
      </c>
      <c r="AZ126">
        <f>U126*(U$1-$AF126)^2</f>
        <v>3.7807183364839347</v>
      </c>
      <c r="BA126">
        <f>V126*(V$1-$AF126)^2</f>
        <v>1.7013232514177613E-2</v>
      </c>
      <c r="BB126">
        <f>W126*(W$1-$AF126)^2</f>
        <v>3.833648393194705</v>
      </c>
      <c r="BC126">
        <f>X126*(X$1-$AF126)^2</f>
        <v>4.5387523629489586</v>
      </c>
      <c r="BD126">
        <f>Y126*(Y$1-$AF126)^2</f>
        <v>9.7996219281663492</v>
      </c>
      <c r="BE126">
        <f>Z126*(Z$1-$AF126)^2</f>
        <v>0</v>
      </c>
      <c r="BF126">
        <f>AA126*(AA$1-$AF126)^2</f>
        <v>26.321361058601131</v>
      </c>
      <c r="BG126">
        <f>AB126*(AB$1-$AF126)^2</f>
        <v>75.16446124763705</v>
      </c>
      <c r="BH126">
        <f>AC126*(AC$1-$AF126)^2</f>
        <v>0</v>
      </c>
      <c r="BI126">
        <f>AD126*(AD$1-$AF126)^2</f>
        <v>0</v>
      </c>
      <c r="BJ126">
        <f>AE126*(AE$1-$AF126)^2</f>
        <v>0</v>
      </c>
      <c r="BK126">
        <f>SQRT(SUM(AG126:BJ126)/SUM(B126:AE126))</f>
        <v>2.8022405294473076</v>
      </c>
      <c r="BL126">
        <f>_xlfn.FLOOR.MATH((AF126-BK126)/5)</f>
        <v>3</v>
      </c>
    </row>
    <row r="127" spans="1:64">
      <c r="A127" t="s">
        <v>400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3</v>
      </c>
      <c r="T127">
        <v>11</v>
      </c>
      <c r="U127">
        <v>10</v>
      </c>
      <c r="V127">
        <v>16</v>
      </c>
      <c r="W127">
        <v>8</v>
      </c>
      <c r="X127">
        <v>8</v>
      </c>
      <c r="Y127">
        <v>6</v>
      </c>
      <c r="Z127">
        <v>3</v>
      </c>
      <c r="AA127">
        <v>0</v>
      </c>
      <c r="AB127">
        <v>0</v>
      </c>
      <c r="AC127">
        <v>1</v>
      </c>
      <c r="AD127">
        <v>0</v>
      </c>
      <c r="AE127">
        <v>0</v>
      </c>
      <c r="AF127">
        <f>SUMPRODUCT($B$1:$AE$1,B127:AE127)/SUM(B127:AE127)</f>
        <v>21.102941176470587</v>
      </c>
      <c r="AG127">
        <f>B127*(B$1-$AF127)^2</f>
        <v>0</v>
      </c>
      <c r="AH127">
        <f>C127*(C$1-$AF127)^2</f>
        <v>0</v>
      </c>
      <c r="AI127">
        <f>D127*(D$1-$AF127)^2</f>
        <v>0</v>
      </c>
      <c r="AJ127">
        <f>E127*(E$1-$AF127)^2</f>
        <v>0</v>
      </c>
      <c r="AK127">
        <f>F127*(F$1-$AF127)^2</f>
        <v>0</v>
      </c>
      <c r="AL127">
        <f>G127*(G$1-$AF127)^2</f>
        <v>0</v>
      </c>
      <c r="AM127">
        <f>H127*(H$1-$AF127)^2</f>
        <v>0</v>
      </c>
      <c r="AN127">
        <f>I127*(I$1-$AF127)^2</f>
        <v>0</v>
      </c>
      <c r="AO127">
        <f>J127*(J$1-$AF127)^2</f>
        <v>0</v>
      </c>
      <c r="AP127">
        <f>K127*(K$1-$AF127)^2</f>
        <v>0</v>
      </c>
      <c r="AQ127">
        <f>L127*(L$1-$AF127)^2</f>
        <v>0</v>
      </c>
      <c r="AR127">
        <f>M127*(M$1-$AF127)^2</f>
        <v>82.863538062283709</v>
      </c>
      <c r="AS127">
        <f>N127*(N$1-$AF127)^2</f>
        <v>0</v>
      </c>
      <c r="AT127">
        <f>O127*(O$1-$AF127)^2</f>
        <v>0</v>
      </c>
      <c r="AU127">
        <f>P127*(P$1-$AF127)^2</f>
        <v>0</v>
      </c>
      <c r="AV127">
        <f>Q127*(Q$1-$AF127)^2</f>
        <v>0</v>
      </c>
      <c r="AW127">
        <f>R127*(R$1-$AF127)^2</f>
        <v>16.834126297577843</v>
      </c>
      <c r="AX127">
        <f>S127*(S$1-$AF127)^2</f>
        <v>28.88473183391001</v>
      </c>
      <c r="AY127">
        <f>T127*(T$1-$AF127)^2</f>
        <v>48.645977508650461</v>
      </c>
      <c r="AZ127">
        <f>U127*(U$1-$AF127)^2</f>
        <v>12.164792387543224</v>
      </c>
      <c r="BA127">
        <f>V127*(V$1-$AF127)^2</f>
        <v>0.1695501730103765</v>
      </c>
      <c r="BB127">
        <f>W127*(W$1-$AF127)^2</f>
        <v>6.4377162629757967</v>
      </c>
      <c r="BC127">
        <f>X127*(X$1-$AF127)^2</f>
        <v>28.790657439446406</v>
      </c>
      <c r="BD127">
        <f>Y127*(Y$1-$AF127)^2</f>
        <v>50.357698961937757</v>
      </c>
      <c r="BE127">
        <f>Z127*(Z$1-$AF127)^2</f>
        <v>45.561202422145357</v>
      </c>
      <c r="BF127">
        <f>AA127*(AA$1-$AF127)^2</f>
        <v>0</v>
      </c>
      <c r="BG127">
        <f>AB127*(AB$1-$AF127)^2</f>
        <v>0</v>
      </c>
      <c r="BH127">
        <f>AC127*(AC$1-$AF127)^2</f>
        <v>47.569420415224933</v>
      </c>
      <c r="BI127">
        <f>AD127*(AD$1-$AF127)^2</f>
        <v>0</v>
      </c>
      <c r="BJ127">
        <f>AE127*(AE$1-$AF127)^2</f>
        <v>0</v>
      </c>
      <c r="BK127">
        <f>SQRT(SUM(AG127:BJ127)/SUM(B127:AE127))</f>
        <v>2.3272029783459254</v>
      </c>
      <c r="BL127">
        <f>_xlfn.FLOOR.MATH((AF127-BK127)/5)</f>
        <v>3</v>
      </c>
    </row>
    <row r="128" spans="1:64">
      <c r="A128" t="s">
        <v>401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1</v>
      </c>
      <c r="Q128">
        <v>1</v>
      </c>
      <c r="R128">
        <v>1</v>
      </c>
      <c r="S128">
        <v>0</v>
      </c>
      <c r="T128">
        <v>0</v>
      </c>
      <c r="U128">
        <v>3</v>
      </c>
      <c r="V128">
        <v>6</v>
      </c>
      <c r="W128">
        <v>2</v>
      </c>
      <c r="X128">
        <v>3</v>
      </c>
      <c r="Y128">
        <v>0</v>
      </c>
      <c r="Z128">
        <v>2</v>
      </c>
      <c r="AA128">
        <v>1</v>
      </c>
      <c r="AB128">
        <v>1</v>
      </c>
      <c r="AC128">
        <v>0</v>
      </c>
      <c r="AD128">
        <v>0</v>
      </c>
      <c r="AE128">
        <v>0</v>
      </c>
      <c r="AF128">
        <f>SUMPRODUCT($B$1:$AE$1,B128:AE128)/SUM(B128:AE128)</f>
        <v>21.428571428571427</v>
      </c>
      <c r="AG128">
        <f>B128*(B$1-$AF128)^2</f>
        <v>0</v>
      </c>
      <c r="AH128">
        <f>C128*(C$1-$AF128)^2</f>
        <v>0</v>
      </c>
      <c r="AI128">
        <f>D128*(D$1-$AF128)^2</f>
        <v>0</v>
      </c>
      <c r="AJ128">
        <f>E128*(E$1-$AF128)^2</f>
        <v>0</v>
      </c>
      <c r="AK128">
        <f>F128*(F$1-$AF128)^2</f>
        <v>0</v>
      </c>
      <c r="AL128">
        <f>G128*(G$1-$AF128)^2</f>
        <v>0</v>
      </c>
      <c r="AM128">
        <f>H128*(H$1-$AF128)^2</f>
        <v>0</v>
      </c>
      <c r="AN128">
        <f>I128*(I$1-$AF128)^2</f>
        <v>0</v>
      </c>
      <c r="AO128">
        <f>J128*(J$1-$AF128)^2</f>
        <v>0</v>
      </c>
      <c r="AP128">
        <f>K128*(K$1-$AF128)^2</f>
        <v>0</v>
      </c>
      <c r="AQ128">
        <f>L128*(L$1-$AF128)^2</f>
        <v>0</v>
      </c>
      <c r="AR128">
        <f>M128*(M$1-$AF128)^2</f>
        <v>0</v>
      </c>
      <c r="AS128">
        <f>N128*(N$1-$AF128)^2</f>
        <v>0</v>
      </c>
      <c r="AT128">
        <f>O128*(O$1-$AF128)^2</f>
        <v>0</v>
      </c>
      <c r="AU128">
        <f>P128*(P$1-$AF128)^2</f>
        <v>41.326530612244881</v>
      </c>
      <c r="AV128">
        <f>Q128*(Q$1-$AF128)^2</f>
        <v>29.469387755102023</v>
      </c>
      <c r="AW128">
        <f>R128*(R$1-$AF128)^2</f>
        <v>19.612244897959169</v>
      </c>
      <c r="AX128">
        <f>S128*(S$1-$AF128)^2</f>
        <v>0</v>
      </c>
      <c r="AY128">
        <f>T128*(T$1-$AF128)^2</f>
        <v>0</v>
      </c>
      <c r="AZ128">
        <f>U128*(U$1-$AF128)^2</f>
        <v>6.1224489795918231</v>
      </c>
      <c r="BA128">
        <f>V128*(V$1-$AF128)^2</f>
        <v>1.102040816326523</v>
      </c>
      <c r="BB128">
        <f>W128*(W$1-$AF128)^2</f>
        <v>0.65306122448979942</v>
      </c>
      <c r="BC128">
        <f>X128*(X$1-$AF128)^2</f>
        <v>7.4081632653061362</v>
      </c>
      <c r="BD128">
        <f>Y128*(Y$1-$AF128)^2</f>
        <v>0</v>
      </c>
      <c r="BE128">
        <f>Z128*(Z$1-$AF128)^2</f>
        <v>25.510204081632676</v>
      </c>
      <c r="BF128">
        <f>AA128*(AA$1-$AF128)^2</f>
        <v>20.897959183673482</v>
      </c>
      <c r="BG128">
        <f>AB128*(AB$1-$AF128)^2</f>
        <v>31.040816326530628</v>
      </c>
      <c r="BH128">
        <f>AC128*(AC$1-$AF128)^2</f>
        <v>0</v>
      </c>
      <c r="BI128">
        <f>AD128*(AD$1-$AF128)^2</f>
        <v>0</v>
      </c>
      <c r="BJ128">
        <f>AE128*(AE$1-$AF128)^2</f>
        <v>0</v>
      </c>
      <c r="BK128">
        <f>SQRT(SUM(AG128:BJ128)/SUM(B128:AE128))</f>
        <v>2.9531489016597439</v>
      </c>
      <c r="BL128">
        <f>_xlfn.FLOOR.MATH((AF128-BK128)/5)</f>
        <v>3</v>
      </c>
    </row>
    <row r="129" spans="1:64">
      <c r="A129" t="s">
        <v>402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</v>
      </c>
      <c r="V129">
        <v>5</v>
      </c>
      <c r="W129">
        <v>0</v>
      </c>
      <c r="X129">
        <v>1</v>
      </c>
      <c r="Y129">
        <v>0</v>
      </c>
      <c r="Z129">
        <v>0</v>
      </c>
      <c r="AA129">
        <v>1</v>
      </c>
      <c r="AB129">
        <v>0</v>
      </c>
      <c r="AC129">
        <v>0</v>
      </c>
      <c r="AD129">
        <v>0</v>
      </c>
      <c r="AE129">
        <v>0</v>
      </c>
      <c r="AF129">
        <f>SUMPRODUCT($B$1:$AE$1,B129:AE129)/SUM(B129:AE129)</f>
        <v>20.7</v>
      </c>
      <c r="AG129">
        <f>B129*(B$1-$AF129)^2</f>
        <v>0</v>
      </c>
      <c r="AH129">
        <f>C129*(C$1-$AF129)^2</f>
        <v>0</v>
      </c>
      <c r="AI129">
        <f>D129*(D$1-$AF129)^2</f>
        <v>0</v>
      </c>
      <c r="AJ129">
        <f>E129*(E$1-$AF129)^2</f>
        <v>0</v>
      </c>
      <c r="AK129">
        <f>F129*(F$1-$AF129)^2</f>
        <v>0</v>
      </c>
      <c r="AL129">
        <f>G129*(G$1-$AF129)^2</f>
        <v>0</v>
      </c>
      <c r="AM129">
        <f>H129*(H$1-$AF129)^2</f>
        <v>0</v>
      </c>
      <c r="AN129">
        <f>I129*(I$1-$AF129)^2</f>
        <v>0</v>
      </c>
      <c r="AO129">
        <f>J129*(J$1-$AF129)^2</f>
        <v>0</v>
      </c>
      <c r="AP129">
        <f>K129*(K$1-$AF129)^2</f>
        <v>0</v>
      </c>
      <c r="AQ129">
        <f>L129*(L$1-$AF129)^2</f>
        <v>0</v>
      </c>
      <c r="AR129">
        <f>M129*(M$1-$AF129)^2</f>
        <v>0</v>
      </c>
      <c r="AS129">
        <f>N129*(N$1-$AF129)^2</f>
        <v>59.289999999999992</v>
      </c>
      <c r="AT129">
        <f>O129*(O$1-$AF129)^2</f>
        <v>0</v>
      </c>
      <c r="AU129">
        <f>P129*(P$1-$AF129)^2</f>
        <v>0</v>
      </c>
      <c r="AV129">
        <f>Q129*(Q$1-$AF129)^2</f>
        <v>0</v>
      </c>
      <c r="AW129">
        <f>R129*(R$1-$AF129)^2</f>
        <v>0</v>
      </c>
      <c r="AX129">
        <f>S129*(S$1-$AF129)^2</f>
        <v>0</v>
      </c>
      <c r="AY129">
        <f>T129*(T$1-$AF129)^2</f>
        <v>0</v>
      </c>
      <c r="AZ129">
        <f>U129*(U$1-$AF129)^2</f>
        <v>0.97999999999999798</v>
      </c>
      <c r="BA129">
        <f>V129*(V$1-$AF129)^2</f>
        <v>0.45000000000000212</v>
      </c>
      <c r="BB129">
        <f>W129*(W$1-$AF129)^2</f>
        <v>0</v>
      </c>
      <c r="BC129">
        <f>X129*(X$1-$AF129)^2</f>
        <v>5.2900000000000036</v>
      </c>
      <c r="BD129">
        <f>Y129*(Y$1-$AF129)^2</f>
        <v>0</v>
      </c>
      <c r="BE129">
        <f>Z129*(Z$1-$AF129)^2</f>
        <v>0</v>
      </c>
      <c r="BF129">
        <f>AA129*(AA$1-$AF129)^2</f>
        <v>28.090000000000007</v>
      </c>
      <c r="BG129">
        <f>AB129*(AB$1-$AF129)^2</f>
        <v>0</v>
      </c>
      <c r="BH129">
        <f>AC129*(AC$1-$AF129)^2</f>
        <v>0</v>
      </c>
      <c r="BI129">
        <f>AD129*(AD$1-$AF129)^2</f>
        <v>0</v>
      </c>
      <c r="BJ129">
        <f>AE129*(AE$1-$AF129)^2</f>
        <v>0</v>
      </c>
      <c r="BK129">
        <f>SQRT(SUM(AG129:BJ129)/SUM(B129:AE129))</f>
        <v>3.0675723300355937</v>
      </c>
      <c r="BL129">
        <f>_xlfn.FLOOR.MATH((AF129-BK129)/5)</f>
        <v>3</v>
      </c>
    </row>
    <row r="130" spans="1:64">
      <c r="A130" t="s">
        <v>403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4</v>
      </c>
      <c r="N130">
        <v>3</v>
      </c>
      <c r="O130">
        <v>3</v>
      </c>
      <c r="P130">
        <v>4</v>
      </c>
      <c r="Q130">
        <v>5</v>
      </c>
      <c r="R130">
        <v>8</v>
      </c>
      <c r="S130">
        <v>7</v>
      </c>
      <c r="T130">
        <v>6</v>
      </c>
      <c r="U130">
        <v>9</v>
      </c>
      <c r="V130">
        <v>10</v>
      </c>
      <c r="W130">
        <v>2</v>
      </c>
      <c r="X130">
        <v>4</v>
      </c>
      <c r="Y130">
        <v>4</v>
      </c>
      <c r="Z130">
        <v>1</v>
      </c>
      <c r="AA130">
        <v>3</v>
      </c>
      <c r="AB130">
        <v>1</v>
      </c>
      <c r="AC130">
        <v>1</v>
      </c>
      <c r="AD130">
        <v>1</v>
      </c>
      <c r="AE130">
        <v>0</v>
      </c>
      <c r="AF130">
        <f>SUMPRODUCT($B$1:$AE$1,B130:AE130)/SUM(B130:AE130)</f>
        <v>19.012987012987011</v>
      </c>
      <c r="AG130">
        <f>B130*(B$1-$AF130)^2</f>
        <v>0</v>
      </c>
      <c r="AH130">
        <f>C130*(C$1-$AF130)^2</f>
        <v>0</v>
      </c>
      <c r="AI130">
        <f>D130*(D$1-$AF130)^2</f>
        <v>0</v>
      </c>
      <c r="AJ130">
        <f>E130*(E$1-$AF130)^2</f>
        <v>0</v>
      </c>
      <c r="AK130">
        <f>F130*(F$1-$AF130)^2</f>
        <v>0</v>
      </c>
      <c r="AL130">
        <f>G130*(G$1-$AF130)^2</f>
        <v>0</v>
      </c>
      <c r="AM130">
        <f>H130*(H$1-$AF130)^2</f>
        <v>0</v>
      </c>
      <c r="AN130">
        <f>I130*(I$1-$AF130)^2</f>
        <v>0</v>
      </c>
      <c r="AO130">
        <f>J130*(J$1-$AF130)^2</f>
        <v>0</v>
      </c>
      <c r="AP130">
        <f>K130*(K$1-$AF130)^2</f>
        <v>81.23393489627253</v>
      </c>
      <c r="AQ130">
        <f>L130*(L$1-$AF130)^2</f>
        <v>0</v>
      </c>
      <c r="AR130">
        <f>M130*(M$1-$AF130)^2</f>
        <v>196.72794737729794</v>
      </c>
      <c r="AS130">
        <f>N130*(N$1-$AF130)^2</f>
        <v>108.46803845505138</v>
      </c>
      <c r="AT130">
        <f>O130*(O$1-$AF130)^2</f>
        <v>75.390116377129317</v>
      </c>
      <c r="AU130">
        <f>P130*(P$1-$AF130)^2</f>
        <v>64.416259065609665</v>
      </c>
      <c r="AV130">
        <f>Q130*(Q$1-$AF130)^2</f>
        <v>45.390453702141961</v>
      </c>
      <c r="AW130">
        <f>R130*(R$1-$AF130)^2</f>
        <v>32.416933715634961</v>
      </c>
      <c r="AX130">
        <f>S130*(S$1-$AF130)^2</f>
        <v>7.1829988193624326</v>
      </c>
      <c r="AY130">
        <f>T130*(T$1-$AF130)^2</f>
        <v>1.0119750379488049E-3</v>
      </c>
      <c r="AZ130">
        <f>U130*(U$1-$AF130)^2</f>
        <v>8.767751728790719</v>
      </c>
      <c r="BA130">
        <f>V130*(V$1-$AF130)^2</f>
        <v>39.482206105582797</v>
      </c>
      <c r="BB130">
        <f>W130*(W$1-$AF130)^2</f>
        <v>17.844493169168512</v>
      </c>
      <c r="BC130">
        <f>X130*(X$1-$AF130)^2</f>
        <v>63.585090234440933</v>
      </c>
      <c r="BD130">
        <f>Y130*(Y$1-$AF130)^2</f>
        <v>99.48119413054485</v>
      </c>
      <c r="BE130">
        <f>Z130*(Z$1-$AF130)^2</f>
        <v>35.84432450666219</v>
      </c>
      <c r="BF130">
        <f>AA130*(AA$1-$AF130)^2</f>
        <v>146.4550514420645</v>
      </c>
      <c r="BG130">
        <f>AB130*(AB$1-$AF130)^2</f>
        <v>63.792376454714145</v>
      </c>
      <c r="BH130">
        <f>AC130*(AC$1-$AF130)^2</f>
        <v>80.766402428740122</v>
      </c>
      <c r="BI130">
        <f>AD130*(AD$1-$AF130)^2</f>
        <v>99.740428402766099</v>
      </c>
      <c r="BJ130">
        <f>AE130*(AE$1-$AF130)^2</f>
        <v>0</v>
      </c>
      <c r="BK130">
        <f>SQRT(SUM(AG130:BJ130)/SUM(B130:AE130))</f>
        <v>4.0563994862487514</v>
      </c>
      <c r="BL130">
        <f>_xlfn.FLOOR.MATH((AF130-BK130)/5)</f>
        <v>2</v>
      </c>
    </row>
    <row r="131" spans="1:64">
      <c r="A131" t="s">
        <v>404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9</v>
      </c>
      <c r="U131">
        <v>8</v>
      </c>
      <c r="V131">
        <v>5</v>
      </c>
      <c r="W131">
        <v>8</v>
      </c>
      <c r="X131">
        <v>3</v>
      </c>
      <c r="Y131">
        <v>1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f>SUMPRODUCT($B$1:$AE$1,B131:AE131)/SUM(B131:AE131)</f>
        <v>20.735294117647058</v>
      </c>
      <c r="AG131">
        <f>B131*(B$1-$AF131)^2</f>
        <v>0</v>
      </c>
      <c r="AH131">
        <f>C131*(C$1-$AF131)^2</f>
        <v>0</v>
      </c>
      <c r="AI131">
        <f>D131*(D$1-$AF131)^2</f>
        <v>0</v>
      </c>
      <c r="AJ131">
        <f>E131*(E$1-$AF131)^2</f>
        <v>0</v>
      </c>
      <c r="AK131">
        <f>F131*(F$1-$AF131)^2</f>
        <v>0</v>
      </c>
      <c r="AL131">
        <f>G131*(G$1-$AF131)^2</f>
        <v>0</v>
      </c>
      <c r="AM131">
        <f>H131*(H$1-$AF131)^2</f>
        <v>0</v>
      </c>
      <c r="AN131">
        <f>I131*(I$1-$AF131)^2</f>
        <v>0</v>
      </c>
      <c r="AO131">
        <f>J131*(J$1-$AF131)^2</f>
        <v>0</v>
      </c>
      <c r="AP131">
        <f>K131*(K$1-$AF131)^2</f>
        <v>0</v>
      </c>
      <c r="AQ131">
        <f>L131*(L$1-$AF131)^2</f>
        <v>0</v>
      </c>
      <c r="AR131">
        <f>M131*(M$1-$AF131)^2</f>
        <v>0</v>
      </c>
      <c r="AS131">
        <f>N131*(N$1-$AF131)^2</f>
        <v>0</v>
      </c>
      <c r="AT131">
        <f>O131*(O$1-$AF131)^2</f>
        <v>0</v>
      </c>
      <c r="AU131">
        <f>P131*(P$1-$AF131)^2</f>
        <v>0</v>
      </c>
      <c r="AV131">
        <f>Q131*(Q$1-$AF131)^2</f>
        <v>0</v>
      </c>
      <c r="AW131">
        <f>R131*(R$1-$AF131)^2</f>
        <v>0</v>
      </c>
      <c r="AX131">
        <f>S131*(S$1-$AF131)^2</f>
        <v>0</v>
      </c>
      <c r="AY131">
        <f>T131*(T$1-$AF131)^2</f>
        <v>27.101211072664334</v>
      </c>
      <c r="AZ131">
        <f>U131*(U$1-$AF131)^2</f>
        <v>4.3252595155709246</v>
      </c>
      <c r="BA131">
        <f>V131*(V$1-$AF131)^2</f>
        <v>0.35034602076124793</v>
      </c>
      <c r="BB131">
        <f>W131*(W$1-$AF131)^2</f>
        <v>12.795847750865068</v>
      </c>
      <c r="BC131">
        <f>X131*(X$1-$AF131)^2</f>
        <v>15.386678200692053</v>
      </c>
      <c r="BD131">
        <f>Y131*(Y$1-$AF131)^2</f>
        <v>10.658304498269901</v>
      </c>
      <c r="BE131">
        <f>Z131*(Z$1-$AF131)^2</f>
        <v>0</v>
      </c>
      <c r="BF131">
        <f>AA131*(AA$1-$AF131)^2</f>
        <v>0</v>
      </c>
      <c r="BG131">
        <f>AB131*(AB$1-$AF131)^2</f>
        <v>0</v>
      </c>
      <c r="BH131">
        <f>AC131*(AC$1-$AF131)^2</f>
        <v>0</v>
      </c>
      <c r="BI131">
        <f>AD131*(AD$1-$AF131)^2</f>
        <v>0</v>
      </c>
      <c r="BJ131">
        <f>AE131*(AE$1-$AF131)^2</f>
        <v>0</v>
      </c>
      <c r="BK131">
        <f>SQRT(SUM(AG131:BJ131)/SUM(B131:AE131))</f>
        <v>1.4411764705882353</v>
      </c>
      <c r="BL131">
        <f>_xlfn.FLOOR.MATH((AF131-BK131)/5)</f>
        <v>3</v>
      </c>
    </row>
    <row r="132" spans="1:64">
      <c r="A132" t="s">
        <v>405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3</v>
      </c>
      <c r="U132">
        <v>1</v>
      </c>
      <c r="V132">
        <v>4</v>
      </c>
      <c r="W132">
        <v>3</v>
      </c>
      <c r="X132">
        <v>2</v>
      </c>
      <c r="Y132">
        <v>3</v>
      </c>
      <c r="Z132">
        <v>1</v>
      </c>
      <c r="AA132">
        <v>3</v>
      </c>
      <c r="AB132">
        <v>0</v>
      </c>
      <c r="AC132">
        <v>0</v>
      </c>
      <c r="AD132">
        <v>0</v>
      </c>
      <c r="AE132">
        <v>0</v>
      </c>
      <c r="AF132">
        <f>SUMPRODUCT($B$1:$AE$1,B132:AE132)/SUM(B132:AE132)</f>
        <v>22.4</v>
      </c>
      <c r="AG132">
        <f>B132*(B$1-$AF132)^2</f>
        <v>0</v>
      </c>
      <c r="AH132">
        <f>C132*(C$1-$AF132)^2</f>
        <v>0</v>
      </c>
      <c r="AI132">
        <f>D132*(D$1-$AF132)^2</f>
        <v>0</v>
      </c>
      <c r="AJ132">
        <f>E132*(E$1-$AF132)^2</f>
        <v>0</v>
      </c>
      <c r="AK132">
        <f>F132*(F$1-$AF132)^2</f>
        <v>0</v>
      </c>
      <c r="AL132">
        <f>G132*(G$1-$AF132)^2</f>
        <v>0</v>
      </c>
      <c r="AM132">
        <f>H132*(H$1-$AF132)^2</f>
        <v>0</v>
      </c>
      <c r="AN132">
        <f>I132*(I$1-$AF132)^2</f>
        <v>0</v>
      </c>
      <c r="AO132">
        <f>J132*(J$1-$AF132)^2</f>
        <v>0</v>
      </c>
      <c r="AP132">
        <f>K132*(K$1-$AF132)^2</f>
        <v>0</v>
      </c>
      <c r="AQ132">
        <f>L132*(L$1-$AF132)^2</f>
        <v>0</v>
      </c>
      <c r="AR132">
        <f>M132*(M$1-$AF132)^2</f>
        <v>0</v>
      </c>
      <c r="AS132">
        <f>N132*(N$1-$AF132)^2</f>
        <v>0</v>
      </c>
      <c r="AT132">
        <f>O132*(O$1-$AF132)^2</f>
        <v>0</v>
      </c>
      <c r="AU132">
        <f>P132*(P$1-$AF132)^2</f>
        <v>0</v>
      </c>
      <c r="AV132">
        <f>Q132*(Q$1-$AF132)^2</f>
        <v>0</v>
      </c>
      <c r="AW132">
        <f>R132*(R$1-$AF132)^2</f>
        <v>0</v>
      </c>
      <c r="AX132">
        <f>S132*(S$1-$AF132)^2</f>
        <v>0</v>
      </c>
      <c r="AY132">
        <f>T132*(T$1-$AF132)^2</f>
        <v>34.679999999999971</v>
      </c>
      <c r="AZ132">
        <f>U132*(U$1-$AF132)^2</f>
        <v>5.7599999999999936</v>
      </c>
      <c r="BA132">
        <f>V132*(V$1-$AF132)^2</f>
        <v>7.8399999999999839</v>
      </c>
      <c r="BB132">
        <f>W132*(W$1-$AF132)^2</f>
        <v>0.4799999999999966</v>
      </c>
      <c r="BC132">
        <f>X132*(X$1-$AF132)^2</f>
        <v>0.72000000000000342</v>
      </c>
      <c r="BD132">
        <f>Y132*(Y$1-$AF132)^2</f>
        <v>7.6800000000000139</v>
      </c>
      <c r="BE132">
        <f>Z132*(Z$1-$AF132)^2</f>
        <v>6.7600000000000078</v>
      </c>
      <c r="BF132">
        <f>AA132*(AA$1-$AF132)^2</f>
        <v>38.880000000000031</v>
      </c>
      <c r="BG132">
        <f>AB132*(AB$1-$AF132)^2</f>
        <v>0</v>
      </c>
      <c r="BH132">
        <f>AC132*(AC$1-$AF132)^2</f>
        <v>0</v>
      </c>
      <c r="BI132">
        <f>AD132*(AD$1-$AF132)^2</f>
        <v>0</v>
      </c>
      <c r="BJ132">
        <f>AE132*(AE$1-$AF132)^2</f>
        <v>0</v>
      </c>
      <c r="BK132">
        <f>SQRT(SUM(AG132:BJ132)/SUM(B132:AE132))</f>
        <v>2.2671568097509267</v>
      </c>
      <c r="BL132">
        <f>_xlfn.FLOOR.MATH((AF132-BK132)/5)</f>
        <v>4</v>
      </c>
    </row>
    <row r="133" spans="1:64">
      <c r="A133" t="s">
        <v>406</v>
      </c>
      <c r="B133">
        <v>0</v>
      </c>
      <c r="C133">
        <v>0</v>
      </c>
      <c r="D133">
        <v>0</v>
      </c>
      <c r="E133">
        <v>2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2</v>
      </c>
      <c r="O133">
        <v>5</v>
      </c>
      <c r="P133">
        <v>8</v>
      </c>
      <c r="Q133">
        <v>11</v>
      </c>
      <c r="R133">
        <v>13</v>
      </c>
      <c r="S133">
        <v>8</v>
      </c>
      <c r="T133">
        <v>10</v>
      </c>
      <c r="U133">
        <v>4</v>
      </c>
      <c r="V133">
        <v>3</v>
      </c>
      <c r="W133">
        <v>5</v>
      </c>
      <c r="X133">
        <v>1</v>
      </c>
      <c r="Y133">
        <v>2</v>
      </c>
      <c r="Z133">
        <v>4</v>
      </c>
      <c r="AA133">
        <v>3</v>
      </c>
      <c r="AB133">
        <v>0</v>
      </c>
      <c r="AC133">
        <v>1</v>
      </c>
      <c r="AD133">
        <v>0</v>
      </c>
      <c r="AE133">
        <v>0</v>
      </c>
      <c r="AF133">
        <f>SUMPRODUCT($B$1:$AE$1,B133:AE133)/SUM(B133:AE133)</f>
        <v>17.8</v>
      </c>
      <c r="AG133">
        <f>B133*(B$1-$AF133)^2</f>
        <v>0</v>
      </c>
      <c r="AH133">
        <f>C133*(C$1-$AF133)^2</f>
        <v>0</v>
      </c>
      <c r="AI133">
        <f>D133*(D$1-$AF133)^2</f>
        <v>0</v>
      </c>
      <c r="AJ133">
        <f>E133*(E$1-$AF133)^2</f>
        <v>380.88000000000005</v>
      </c>
      <c r="AK133">
        <f>F133*(F$1-$AF133)^2</f>
        <v>163.84000000000003</v>
      </c>
      <c r="AL133">
        <f>G133*(G$1-$AF133)^2</f>
        <v>0</v>
      </c>
      <c r="AM133">
        <f>H133*(H$1-$AF133)^2</f>
        <v>0</v>
      </c>
      <c r="AN133">
        <f>I133*(I$1-$AF133)^2</f>
        <v>0</v>
      </c>
      <c r="AO133">
        <f>J133*(J$1-$AF133)^2</f>
        <v>0</v>
      </c>
      <c r="AP133">
        <f>K133*(K$1-$AF133)^2</f>
        <v>0</v>
      </c>
      <c r="AQ133">
        <f>L133*(L$1-$AF133)^2</f>
        <v>46.240000000000009</v>
      </c>
      <c r="AR133">
        <f>M133*(M$1-$AF133)^2</f>
        <v>33.640000000000008</v>
      </c>
      <c r="AS133">
        <f>N133*(N$1-$AF133)^2</f>
        <v>46.080000000000013</v>
      </c>
      <c r="AT133">
        <f>O133*(O$1-$AF133)^2</f>
        <v>72.200000000000017</v>
      </c>
      <c r="AU133">
        <f>P133*(P$1-$AF133)^2</f>
        <v>62.720000000000034</v>
      </c>
      <c r="AV133">
        <f>Q133*(Q$1-$AF133)^2</f>
        <v>35.640000000000029</v>
      </c>
      <c r="AW133">
        <f>R133*(R$1-$AF133)^2</f>
        <v>8.3200000000000145</v>
      </c>
      <c r="AX133">
        <f>S133*(S$1-$AF133)^2</f>
        <v>0.31999999999999773</v>
      </c>
      <c r="AY133">
        <f>T133*(T$1-$AF133)^2</f>
        <v>14.399999999999984</v>
      </c>
      <c r="AZ133">
        <f>U133*(U$1-$AF133)^2</f>
        <v>19.359999999999989</v>
      </c>
      <c r="BA133">
        <f>V133*(V$1-$AF133)^2</f>
        <v>30.719999999999985</v>
      </c>
      <c r="BB133">
        <f>W133*(W$1-$AF133)^2</f>
        <v>88.19999999999996</v>
      </c>
      <c r="BC133">
        <f>X133*(X$1-$AF133)^2</f>
        <v>27.039999999999992</v>
      </c>
      <c r="BD133">
        <f>Y133*(Y$1-$AF133)^2</f>
        <v>76.879999999999981</v>
      </c>
      <c r="BE133">
        <f>Z133*(Z$1-$AF133)^2</f>
        <v>207.35999999999996</v>
      </c>
      <c r="BF133">
        <f>AA133*(AA$1-$AF133)^2</f>
        <v>201.71999999999997</v>
      </c>
      <c r="BG133">
        <f>AB133*(AB$1-$AF133)^2</f>
        <v>0</v>
      </c>
      <c r="BH133">
        <f>AC133*(AC$1-$AF133)^2</f>
        <v>104.03999999999999</v>
      </c>
      <c r="BI133">
        <f>AD133*(AD$1-$AF133)^2</f>
        <v>0</v>
      </c>
      <c r="BJ133">
        <f>AE133*(AE$1-$AF133)^2</f>
        <v>0</v>
      </c>
      <c r="BK133">
        <f>SQRT(SUM(AG133:BJ133)/SUM(B133:AE133))</f>
        <v>4.3651022493246163</v>
      </c>
      <c r="BL133">
        <f>_xlfn.FLOOR.MATH((AF133-BK133)/5)</f>
        <v>2</v>
      </c>
    </row>
    <row r="134" spans="1:64">
      <c r="A134" t="s">
        <v>407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1</v>
      </c>
      <c r="Y134">
        <v>2</v>
      </c>
      <c r="Z134">
        <v>2</v>
      </c>
      <c r="AA134">
        <v>1</v>
      </c>
      <c r="AB134">
        <v>0</v>
      </c>
      <c r="AC134">
        <v>1</v>
      </c>
      <c r="AD134">
        <v>0</v>
      </c>
      <c r="AE134">
        <v>0</v>
      </c>
      <c r="AF134">
        <f>SUMPRODUCT($B$1:$AE$1,B134:AE134)/SUM(B134:AE134)</f>
        <v>24.625</v>
      </c>
      <c r="AG134">
        <f>B134*(B$1-$AF134)^2</f>
        <v>0</v>
      </c>
      <c r="AH134">
        <f>C134*(C$1-$AF134)^2</f>
        <v>0</v>
      </c>
      <c r="AI134">
        <f>D134*(D$1-$AF134)^2</f>
        <v>0</v>
      </c>
      <c r="AJ134">
        <f>E134*(E$1-$AF134)^2</f>
        <v>0</v>
      </c>
      <c r="AK134">
        <f>F134*(F$1-$AF134)^2</f>
        <v>0</v>
      </c>
      <c r="AL134">
        <f>G134*(G$1-$AF134)^2</f>
        <v>0</v>
      </c>
      <c r="AM134">
        <f>H134*(H$1-$AF134)^2</f>
        <v>0</v>
      </c>
      <c r="AN134">
        <f>I134*(I$1-$AF134)^2</f>
        <v>0</v>
      </c>
      <c r="AO134">
        <f>J134*(J$1-$AF134)^2</f>
        <v>0</v>
      </c>
      <c r="AP134">
        <f>K134*(K$1-$AF134)^2</f>
        <v>0</v>
      </c>
      <c r="AQ134">
        <f>L134*(L$1-$AF134)^2</f>
        <v>0</v>
      </c>
      <c r="AR134">
        <f>M134*(M$1-$AF134)^2</f>
        <v>0</v>
      </c>
      <c r="AS134">
        <f>N134*(N$1-$AF134)^2</f>
        <v>0</v>
      </c>
      <c r="AT134">
        <f>O134*(O$1-$AF134)^2</f>
        <v>0</v>
      </c>
      <c r="AU134">
        <f>P134*(P$1-$AF134)^2</f>
        <v>0</v>
      </c>
      <c r="AV134">
        <f>Q134*(Q$1-$AF134)^2</f>
        <v>0</v>
      </c>
      <c r="AW134">
        <f>R134*(R$1-$AF134)^2</f>
        <v>0</v>
      </c>
      <c r="AX134">
        <f>S134*(S$1-$AF134)^2</f>
        <v>0</v>
      </c>
      <c r="AY134">
        <f>T134*(T$1-$AF134)^2</f>
        <v>0</v>
      </c>
      <c r="AZ134">
        <f>U134*(U$1-$AF134)^2</f>
        <v>0</v>
      </c>
      <c r="BA134">
        <f>V134*(V$1-$AF134)^2</f>
        <v>0</v>
      </c>
      <c r="BB134">
        <f>W134*(W$1-$AF134)^2</f>
        <v>6.890625</v>
      </c>
      <c r="BC134">
        <f>X134*(X$1-$AF134)^2</f>
        <v>2.640625</v>
      </c>
      <c r="BD134">
        <f>Y134*(Y$1-$AF134)^2</f>
        <v>0.78125</v>
      </c>
      <c r="BE134">
        <f>Z134*(Z$1-$AF134)^2</f>
        <v>0.28125</v>
      </c>
      <c r="BF134">
        <f>AA134*(AA$1-$AF134)^2</f>
        <v>1.890625</v>
      </c>
      <c r="BG134">
        <f>AB134*(AB$1-$AF134)^2</f>
        <v>0</v>
      </c>
      <c r="BH134">
        <f>AC134*(AC$1-$AF134)^2</f>
        <v>11.390625</v>
      </c>
      <c r="BI134">
        <f>AD134*(AD$1-$AF134)^2</f>
        <v>0</v>
      </c>
      <c r="BJ134">
        <f>AE134*(AE$1-$AF134)^2</f>
        <v>0</v>
      </c>
      <c r="BK134">
        <f>SQRT(SUM(AG134:BJ134)/SUM(B134:AE134))</f>
        <v>1.7275343701356567</v>
      </c>
      <c r="BL134">
        <f>_xlfn.FLOOR.MATH((AF134-BK134)/5)</f>
        <v>4</v>
      </c>
    </row>
    <row r="135" spans="1:64">
      <c r="A135" t="s">
        <v>408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20</v>
      </c>
      <c r="N135">
        <v>34</v>
      </c>
      <c r="O135">
        <v>21</v>
      </c>
      <c r="P135">
        <v>13</v>
      </c>
      <c r="Q135">
        <v>8</v>
      </c>
      <c r="R135">
        <v>9</v>
      </c>
      <c r="S135">
        <v>12</v>
      </c>
      <c r="T135">
        <v>17</v>
      </c>
      <c r="U135">
        <v>7</v>
      </c>
      <c r="V135">
        <v>7</v>
      </c>
      <c r="W135">
        <v>16</v>
      </c>
      <c r="X135">
        <v>4</v>
      </c>
      <c r="Y135">
        <v>8</v>
      </c>
      <c r="Z135">
        <v>5</v>
      </c>
      <c r="AA135">
        <v>5</v>
      </c>
      <c r="AB135">
        <v>2</v>
      </c>
      <c r="AC135">
        <v>0</v>
      </c>
      <c r="AD135">
        <v>1</v>
      </c>
      <c r="AE135">
        <v>0</v>
      </c>
      <c r="AF135">
        <f>SUMPRODUCT($B$1:$AE$1,B135:AE135)/SUM(B135:AE135)</f>
        <v>17.173684210526314</v>
      </c>
      <c r="AG135">
        <f>B135*(B$1-$AF135)^2</f>
        <v>0</v>
      </c>
      <c r="AH135">
        <f>C135*(C$1-$AF135)^2</f>
        <v>0</v>
      </c>
      <c r="AI135">
        <f>D135*(D$1-$AF135)^2</f>
        <v>0</v>
      </c>
      <c r="AJ135">
        <f>E135*(E$1-$AF135)^2</f>
        <v>0</v>
      </c>
      <c r="AK135">
        <f>F135*(F$1-$AF135)^2</f>
        <v>0</v>
      </c>
      <c r="AL135">
        <f>G135*(G$1-$AF135)^2</f>
        <v>0</v>
      </c>
      <c r="AM135">
        <f>H135*(H$1-$AF135)^2</f>
        <v>0</v>
      </c>
      <c r="AN135">
        <f>I135*(I$1-$AF135)^2</f>
        <v>0</v>
      </c>
      <c r="AO135">
        <f>J135*(J$1-$AF135)^2</f>
        <v>0</v>
      </c>
      <c r="AP135">
        <f>K135*(K$1-$AF135)^2</f>
        <v>0</v>
      </c>
      <c r="AQ135">
        <f>L135*(L$1-$AF135)^2</f>
        <v>38.114376731301924</v>
      </c>
      <c r="AR135">
        <f>M135*(M$1-$AF135)^2</f>
        <v>535.34016620498585</v>
      </c>
      <c r="AS135">
        <f>N135*(N$1-$AF135)^2</f>
        <v>592.26775623268657</v>
      </c>
      <c r="AT135">
        <f>O135*(O$1-$AF135)^2</f>
        <v>211.51770083102471</v>
      </c>
      <c r="AU135">
        <f>P135*(P$1-$AF135)^2</f>
        <v>61.423739612188285</v>
      </c>
      <c r="AV135">
        <f>Q135*(Q$1-$AF135)^2</f>
        <v>11.020277008310222</v>
      </c>
      <c r="AW135">
        <f>R135*(R$1-$AF135)^2</f>
        <v>0.27149584487534167</v>
      </c>
      <c r="AX135">
        <f>S135*(S$1-$AF135)^2</f>
        <v>8.1935734072022441</v>
      </c>
      <c r="AY135">
        <f>T135*(T$1-$AF135)^2</f>
        <v>56.702299168975159</v>
      </c>
      <c r="AZ135">
        <f>U135*(U$1-$AF135)^2</f>
        <v>55.916426592797841</v>
      </c>
      <c r="BA135">
        <f>V135*(V$1-$AF135)^2</f>
        <v>102.48484764542944</v>
      </c>
      <c r="BB135">
        <f>W135*(W$1-$AF135)^2</f>
        <v>372.69318559556808</v>
      </c>
      <c r="BC135">
        <f>X135*(X$1-$AF135)^2</f>
        <v>135.78382271468152</v>
      </c>
      <c r="BD135">
        <f>Y135*(Y$1-$AF135)^2</f>
        <v>372.78869806094201</v>
      </c>
      <c r="BE135">
        <f>Z135*(Z$1-$AF135)^2</f>
        <v>306.25609418282562</v>
      </c>
      <c r="BF135">
        <f>AA135*(AA$1-$AF135)^2</f>
        <v>389.51925207756244</v>
      </c>
      <c r="BG135">
        <f>AB135*(AB$1-$AF135)^2</f>
        <v>193.11296398891972</v>
      </c>
      <c r="BH135">
        <f>AC135*(AC$1-$AF135)^2</f>
        <v>0</v>
      </c>
      <c r="BI135">
        <f>AD135*(AD$1-$AF135)^2</f>
        <v>139.86174515235462</v>
      </c>
      <c r="BJ135">
        <f>AE135*(AE$1-$AF135)^2</f>
        <v>0</v>
      </c>
      <c r="BK135">
        <f>SQRT(SUM(AG135:BJ135)/SUM(B135:AE135))</f>
        <v>4.3427304175166546</v>
      </c>
      <c r="BL135">
        <f>_xlfn.FLOOR.MATH((AF135-BK135)/5)</f>
        <v>2</v>
      </c>
    </row>
    <row r="136" spans="1:64">
      <c r="A136" t="s">
        <v>409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2</v>
      </c>
      <c r="S136">
        <v>3</v>
      </c>
      <c r="T136">
        <v>3</v>
      </c>
      <c r="U136">
        <v>2</v>
      </c>
      <c r="V136">
        <v>5</v>
      </c>
      <c r="W136">
        <v>7</v>
      </c>
      <c r="X136">
        <v>3</v>
      </c>
      <c r="Y136">
        <v>2</v>
      </c>
      <c r="Z136">
        <v>1</v>
      </c>
      <c r="AA136">
        <v>0</v>
      </c>
      <c r="AB136">
        <v>1</v>
      </c>
      <c r="AC136">
        <v>1</v>
      </c>
      <c r="AD136">
        <v>0</v>
      </c>
      <c r="AE136">
        <v>0</v>
      </c>
      <c r="AF136">
        <f>SUMPRODUCT($B$1:$AE$1,B136:AE136)/SUM(B136:AE136)</f>
        <v>21.366666666666667</v>
      </c>
      <c r="AG136">
        <f>B136*(B$1-$AF136)^2</f>
        <v>0</v>
      </c>
      <c r="AH136">
        <f>C136*(C$1-$AF136)^2</f>
        <v>0</v>
      </c>
      <c r="AI136">
        <f>D136*(D$1-$AF136)^2</f>
        <v>0</v>
      </c>
      <c r="AJ136">
        <f>E136*(E$1-$AF136)^2</f>
        <v>0</v>
      </c>
      <c r="AK136">
        <f>F136*(F$1-$AF136)^2</f>
        <v>0</v>
      </c>
      <c r="AL136">
        <f>G136*(G$1-$AF136)^2</f>
        <v>0</v>
      </c>
      <c r="AM136">
        <f>H136*(H$1-$AF136)^2</f>
        <v>0</v>
      </c>
      <c r="AN136">
        <f>I136*(I$1-$AF136)^2</f>
        <v>0</v>
      </c>
      <c r="AO136">
        <f>J136*(J$1-$AF136)^2</f>
        <v>0</v>
      </c>
      <c r="AP136">
        <f>K136*(K$1-$AF136)^2</f>
        <v>0</v>
      </c>
      <c r="AQ136">
        <f>L136*(L$1-$AF136)^2</f>
        <v>0</v>
      </c>
      <c r="AR136">
        <f>M136*(M$1-$AF136)^2</f>
        <v>0</v>
      </c>
      <c r="AS136">
        <f>N136*(N$1-$AF136)^2</f>
        <v>0</v>
      </c>
      <c r="AT136">
        <f>O136*(O$1-$AF136)^2</f>
        <v>0</v>
      </c>
      <c r="AU136">
        <f>P136*(P$1-$AF136)^2</f>
        <v>0</v>
      </c>
      <c r="AV136">
        <f>Q136*(Q$1-$AF136)^2</f>
        <v>0</v>
      </c>
      <c r="AW136">
        <f>R136*(R$1-$AF136)^2</f>
        <v>38.135555555555563</v>
      </c>
      <c r="AX136">
        <f>S136*(S$1-$AF136)^2</f>
        <v>34.003333333333345</v>
      </c>
      <c r="AY136">
        <f>T136*(T$1-$AF136)^2</f>
        <v>16.803333333333342</v>
      </c>
      <c r="AZ136">
        <f>U136*(U$1-$AF136)^2</f>
        <v>3.7355555555555582</v>
      </c>
      <c r="BA136">
        <f>V136*(V$1-$AF136)^2</f>
        <v>0.67222222222222394</v>
      </c>
      <c r="BB136">
        <f>W136*(W$1-$AF136)^2</f>
        <v>2.8077777777777735</v>
      </c>
      <c r="BC136">
        <f>X136*(X$1-$AF136)^2</f>
        <v>8.0033333333333285</v>
      </c>
      <c r="BD136">
        <f>Y136*(Y$1-$AF136)^2</f>
        <v>13.868888888888884</v>
      </c>
      <c r="BE136">
        <f>Z136*(Z$1-$AF136)^2</f>
        <v>13.201111111111107</v>
      </c>
      <c r="BF136">
        <f>AA136*(AA$1-$AF136)^2</f>
        <v>0</v>
      </c>
      <c r="BG136">
        <f>AB136*(AB$1-$AF136)^2</f>
        <v>31.734444444444438</v>
      </c>
      <c r="BH136">
        <f>AC136*(AC$1-$AF136)^2</f>
        <v>44.001111111111108</v>
      </c>
      <c r="BI136">
        <f>AD136*(AD$1-$AF136)^2</f>
        <v>0</v>
      </c>
      <c r="BJ136">
        <f>AE136*(AE$1-$AF136)^2</f>
        <v>0</v>
      </c>
      <c r="BK136">
        <f>SQRT(SUM(AG136:BJ136)/SUM(B136:AE136))</f>
        <v>2.6265736024122548</v>
      </c>
      <c r="BL136">
        <f>_xlfn.FLOOR.MATH((AF136-BK136)/5)</f>
        <v>3</v>
      </c>
    </row>
    <row r="137" spans="1:64">
      <c r="A137" t="s">
        <v>410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  <c r="AA137">
        <v>1</v>
      </c>
      <c r="AB137">
        <v>0</v>
      </c>
      <c r="AC137">
        <v>0</v>
      </c>
      <c r="AD137">
        <v>0</v>
      </c>
      <c r="AE137">
        <v>0</v>
      </c>
      <c r="AF137">
        <f>SUMPRODUCT($B$1:$AE$1,B137:AE137)/SUM(B137:AE137)</f>
        <v>25.5</v>
      </c>
      <c r="AG137">
        <f>B137*(B$1-$AF137)^2</f>
        <v>0</v>
      </c>
      <c r="AH137">
        <f>C137*(C$1-$AF137)^2</f>
        <v>0</v>
      </c>
      <c r="AI137">
        <f>D137*(D$1-$AF137)^2</f>
        <v>0</v>
      </c>
      <c r="AJ137">
        <f>E137*(E$1-$AF137)^2</f>
        <v>0</v>
      </c>
      <c r="AK137">
        <f>F137*(F$1-$AF137)^2</f>
        <v>0</v>
      </c>
      <c r="AL137">
        <f>G137*(G$1-$AF137)^2</f>
        <v>0</v>
      </c>
      <c r="AM137">
        <f>H137*(H$1-$AF137)^2</f>
        <v>0</v>
      </c>
      <c r="AN137">
        <f>I137*(I$1-$AF137)^2</f>
        <v>0</v>
      </c>
      <c r="AO137">
        <f>J137*(J$1-$AF137)^2</f>
        <v>0</v>
      </c>
      <c r="AP137">
        <f>K137*(K$1-$AF137)^2</f>
        <v>0</v>
      </c>
      <c r="AQ137">
        <f>L137*(L$1-$AF137)^2</f>
        <v>0</v>
      </c>
      <c r="AR137">
        <f>M137*(M$1-$AF137)^2</f>
        <v>0</v>
      </c>
      <c r="AS137">
        <f>N137*(N$1-$AF137)^2</f>
        <v>0</v>
      </c>
      <c r="AT137">
        <f>O137*(O$1-$AF137)^2</f>
        <v>0</v>
      </c>
      <c r="AU137">
        <f>P137*(P$1-$AF137)^2</f>
        <v>0</v>
      </c>
      <c r="AV137">
        <f>Q137*(Q$1-$AF137)^2</f>
        <v>0</v>
      </c>
      <c r="AW137">
        <f>R137*(R$1-$AF137)^2</f>
        <v>0</v>
      </c>
      <c r="AX137">
        <f>S137*(S$1-$AF137)^2</f>
        <v>0</v>
      </c>
      <c r="AY137">
        <f>T137*(T$1-$AF137)^2</f>
        <v>0</v>
      </c>
      <c r="AZ137">
        <f>U137*(U$1-$AF137)^2</f>
        <v>0</v>
      </c>
      <c r="BA137">
        <f>V137*(V$1-$AF137)^2</f>
        <v>0</v>
      </c>
      <c r="BB137">
        <f>W137*(W$1-$AF137)^2</f>
        <v>0</v>
      </c>
      <c r="BC137">
        <f>X137*(X$1-$AF137)^2</f>
        <v>0</v>
      </c>
      <c r="BD137">
        <f>Y137*(Y$1-$AF137)^2</f>
        <v>0</v>
      </c>
      <c r="BE137">
        <f>Z137*(Z$1-$AF137)^2</f>
        <v>0.25</v>
      </c>
      <c r="BF137">
        <f>AA137*(AA$1-$AF137)^2</f>
        <v>0.25</v>
      </c>
      <c r="BG137">
        <f>AB137*(AB$1-$AF137)^2</f>
        <v>0</v>
      </c>
      <c r="BH137">
        <f>AC137*(AC$1-$AF137)^2</f>
        <v>0</v>
      </c>
      <c r="BI137">
        <f>AD137*(AD$1-$AF137)^2</f>
        <v>0</v>
      </c>
      <c r="BJ137">
        <f>AE137*(AE$1-$AF137)^2</f>
        <v>0</v>
      </c>
      <c r="BK137">
        <f>SQRT(SUM(AG137:BJ137)/SUM(B137:AE137))</f>
        <v>0.5</v>
      </c>
      <c r="BL137">
        <f>_xlfn.FLOOR.MATH((AF137-BK137)/5)</f>
        <v>5</v>
      </c>
    </row>
    <row r="138" spans="1:64">
      <c r="A138" t="s">
        <v>411</v>
      </c>
      <c r="B138">
        <v>0</v>
      </c>
      <c r="C138">
        <v>1</v>
      </c>
      <c r="D138">
        <v>15</v>
      </c>
      <c r="E138">
        <v>21</v>
      </c>
      <c r="F138">
        <v>26</v>
      </c>
      <c r="G138">
        <v>44</v>
      </c>
      <c r="H138">
        <v>58</v>
      </c>
      <c r="I138">
        <v>58</v>
      </c>
      <c r="J138">
        <v>66</v>
      </c>
      <c r="K138">
        <v>71</v>
      </c>
      <c r="L138">
        <v>55</v>
      </c>
      <c r="M138">
        <v>71</v>
      </c>
      <c r="N138">
        <v>75</v>
      </c>
      <c r="O138">
        <v>56</v>
      </c>
      <c r="P138">
        <v>81</v>
      </c>
      <c r="Q138">
        <v>78</v>
      </c>
      <c r="R138">
        <v>81</v>
      </c>
      <c r="S138">
        <v>75</v>
      </c>
      <c r="T138">
        <v>57</v>
      </c>
      <c r="U138">
        <v>63</v>
      </c>
      <c r="V138">
        <v>66</v>
      </c>
      <c r="W138">
        <v>66</v>
      </c>
      <c r="X138">
        <v>40</v>
      </c>
      <c r="Y138">
        <v>40</v>
      </c>
      <c r="Z138">
        <v>20</v>
      </c>
      <c r="AA138">
        <v>19</v>
      </c>
      <c r="AB138">
        <v>10</v>
      </c>
      <c r="AC138">
        <v>6</v>
      </c>
      <c r="AD138">
        <v>1</v>
      </c>
      <c r="AE138">
        <v>0</v>
      </c>
      <c r="AF138">
        <f>SUMPRODUCT($B$1:$AE$1,B138:AE138)/SUM(B138:AE138)</f>
        <v>14.868939393939394</v>
      </c>
      <c r="AG138">
        <f>B138*(B$1-$AF138)^2</f>
        <v>0</v>
      </c>
      <c r="AH138">
        <f>C138*(C$1-$AF138)^2</f>
        <v>165.60960112488522</v>
      </c>
      <c r="AI138">
        <f>D138*(D$1-$AF138)^2</f>
        <v>2113.0758350550968</v>
      </c>
      <c r="AJ138">
        <f>E138*(E$1-$AF138)^2</f>
        <v>2480.8107145316808</v>
      </c>
      <c r="AK138">
        <f>F138*(F$1-$AF138)^2</f>
        <v>2532.2950837924705</v>
      </c>
      <c r="AL138">
        <f>G138*(G$1-$AF138)^2</f>
        <v>3460.9557828282827</v>
      </c>
      <c r="AM138">
        <f>H138*(H$1-$AF138)^2</f>
        <v>3591.3720167584943</v>
      </c>
      <c r="AN138">
        <f>I138*(I$1-$AF138)^2</f>
        <v>2736.5750470615249</v>
      </c>
      <c r="AO138">
        <f>J138*(J$1-$AF138)^2</f>
        <v>2273.3336742424244</v>
      </c>
      <c r="AP138">
        <f>K138*(K$1-$AF138)^2</f>
        <v>1683.1665283516988</v>
      </c>
      <c r="AQ138">
        <f>L138*(L$1-$AF138)^2</f>
        <v>823.2780618686869</v>
      </c>
      <c r="AR138">
        <f>M138*(M$1-$AF138)^2</f>
        <v>584.38774047291099</v>
      </c>
      <c r="AS138">
        <f>N138*(N$1-$AF138)^2</f>
        <v>261.97008436639123</v>
      </c>
      <c r="AT138">
        <f>O138*(O$1-$AF138)^2</f>
        <v>42.283117539026648</v>
      </c>
      <c r="AU138">
        <f>P138*(P$1-$AF138)^2</f>
        <v>1.3913274793388393</v>
      </c>
      <c r="AV138">
        <f>Q138*(Q$1-$AF138)^2</f>
        <v>99.785251377410432</v>
      </c>
      <c r="AW138">
        <f>R138*(R$1-$AF138)^2</f>
        <v>367.85496384297517</v>
      </c>
      <c r="AX138">
        <f>S138*(S$1-$AF138)^2</f>
        <v>735.26553891184562</v>
      </c>
      <c r="AY138">
        <f>T138*(T$1-$AF138)^2</f>
        <v>972.74271866391177</v>
      </c>
      <c r="AZ138">
        <f>U138*(U$1-$AF138)^2</f>
        <v>1658.6503254132231</v>
      </c>
      <c r="BA138">
        <f>V138*(V$1-$AF138)^2</f>
        <v>2480.9336742424239</v>
      </c>
      <c r="BB138">
        <f>W138*(W$1-$AF138)^2</f>
        <v>3356.2336742424241</v>
      </c>
      <c r="BC138">
        <f>X138*(X$1-$AF138)^2</f>
        <v>2644.5658631772267</v>
      </c>
      <c r="BD138">
        <f>Y138*(Y$1-$AF138)^2</f>
        <v>3335.0507116620752</v>
      </c>
      <c r="BE138">
        <f>Z138*(Z$1-$AF138)^2</f>
        <v>2052.7677800734618</v>
      </c>
      <c r="BF138">
        <f>AA138*(AA$1-$AF138)^2</f>
        <v>2354.1096941000915</v>
      </c>
      <c r="BG138">
        <f>AB138*(AB$1-$AF138)^2</f>
        <v>1471.6263142791554</v>
      </c>
      <c r="BH138">
        <f>AC138*(AC$1-$AF138)^2</f>
        <v>1034.5485158402203</v>
      </c>
      <c r="BI138">
        <f>AD138*(AD$1-$AF138)^2</f>
        <v>199.68687385215793</v>
      </c>
      <c r="BJ138">
        <f>AE138*(AE$1-$AF138)^2</f>
        <v>0</v>
      </c>
      <c r="BK138">
        <f>SQRT(SUM(AG138:BJ138)/SUM(B138:AE138))</f>
        <v>5.8720141680914137</v>
      </c>
      <c r="BL138">
        <f>_xlfn.FLOOR.MATH((AF138-BK138)/5)</f>
        <v>1</v>
      </c>
    </row>
    <row r="139" spans="1:64">
      <c r="A139" t="s">
        <v>412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1</v>
      </c>
      <c r="O139">
        <v>1</v>
      </c>
      <c r="P139">
        <v>1</v>
      </c>
      <c r="Q139">
        <v>0</v>
      </c>
      <c r="R139">
        <v>0</v>
      </c>
      <c r="S139">
        <v>2</v>
      </c>
      <c r="T139">
        <v>0</v>
      </c>
      <c r="U139">
        <v>0</v>
      </c>
      <c r="V139">
        <v>3</v>
      </c>
      <c r="W139">
        <v>1</v>
      </c>
      <c r="X139">
        <v>0</v>
      </c>
      <c r="Y139">
        <v>0</v>
      </c>
      <c r="Z139">
        <v>2</v>
      </c>
      <c r="AA139">
        <v>1</v>
      </c>
      <c r="AB139">
        <v>1</v>
      </c>
      <c r="AC139">
        <v>0</v>
      </c>
      <c r="AD139">
        <v>1</v>
      </c>
      <c r="AE139">
        <v>0</v>
      </c>
      <c r="AF139">
        <f>SUMPRODUCT($B$1:$AE$1,B139:AE139)/SUM(B139:AE139)</f>
        <v>20.466666666666665</v>
      </c>
      <c r="AG139">
        <f>B139*(B$1-$AF139)^2</f>
        <v>0</v>
      </c>
      <c r="AH139">
        <f>C139*(C$1-$AF139)^2</f>
        <v>0</v>
      </c>
      <c r="AI139">
        <f>D139*(D$1-$AF139)^2</f>
        <v>0</v>
      </c>
      <c r="AJ139">
        <f>E139*(E$1-$AF139)^2</f>
        <v>0</v>
      </c>
      <c r="AK139">
        <f>F139*(F$1-$AF139)^2</f>
        <v>0</v>
      </c>
      <c r="AL139">
        <f>G139*(G$1-$AF139)^2</f>
        <v>0</v>
      </c>
      <c r="AM139">
        <f>H139*(H$1-$AF139)^2</f>
        <v>0</v>
      </c>
      <c r="AN139">
        <f>I139*(I$1-$AF139)^2</f>
        <v>0</v>
      </c>
      <c r="AO139">
        <f>J139*(J$1-$AF139)^2</f>
        <v>0</v>
      </c>
      <c r="AP139">
        <f>K139*(K$1-$AF139)^2</f>
        <v>0</v>
      </c>
      <c r="AQ139">
        <f>L139*(L$1-$AF139)^2</f>
        <v>0</v>
      </c>
      <c r="AR139">
        <f>M139*(M$1-$AF139)^2</f>
        <v>71.684444444444409</v>
      </c>
      <c r="AS139">
        <f>N139*(N$1-$AF139)^2</f>
        <v>55.751111111111086</v>
      </c>
      <c r="AT139">
        <f>O139*(O$1-$AF139)^2</f>
        <v>41.817777777777756</v>
      </c>
      <c r="AU139">
        <f>P139*(P$1-$AF139)^2</f>
        <v>29.884444444444426</v>
      </c>
      <c r="AV139">
        <f>Q139*(Q$1-$AF139)^2</f>
        <v>0</v>
      </c>
      <c r="AW139">
        <f>R139*(R$1-$AF139)^2</f>
        <v>0</v>
      </c>
      <c r="AX139">
        <f>S139*(S$1-$AF139)^2</f>
        <v>12.168888888888873</v>
      </c>
      <c r="AY139">
        <f>T139*(T$1-$AF139)^2</f>
        <v>0</v>
      </c>
      <c r="AZ139">
        <f>U139*(U$1-$AF139)^2</f>
        <v>0</v>
      </c>
      <c r="BA139">
        <f>V139*(V$1-$AF139)^2</f>
        <v>0.85333333333333861</v>
      </c>
      <c r="BB139">
        <f>W139*(W$1-$AF139)^2</f>
        <v>2.3511111111111163</v>
      </c>
      <c r="BC139">
        <f>X139*(X$1-$AF139)^2</f>
        <v>0</v>
      </c>
      <c r="BD139">
        <f>Y139*(Y$1-$AF139)^2</f>
        <v>0</v>
      </c>
      <c r="BE139">
        <f>Z139*(Z$1-$AF139)^2</f>
        <v>41.102222222222252</v>
      </c>
      <c r="BF139">
        <f>AA139*(AA$1-$AF139)^2</f>
        <v>30.617777777777796</v>
      </c>
      <c r="BG139">
        <f>AB139*(AB$1-$AF139)^2</f>
        <v>42.684444444444466</v>
      </c>
      <c r="BH139">
        <f>AC139*(AC$1-$AF139)^2</f>
        <v>0</v>
      </c>
      <c r="BI139">
        <f>AD139*(AD$1-$AF139)^2</f>
        <v>72.817777777777806</v>
      </c>
      <c r="BJ139">
        <f>AE139*(AE$1-$AF139)^2</f>
        <v>0</v>
      </c>
      <c r="BK139">
        <f>SQRT(SUM(AG139:BJ139)/SUM(B139:AE139))</f>
        <v>5.1751543186867597</v>
      </c>
      <c r="BL139">
        <f>_xlfn.FLOOR.MATH((AF139-BK139)/5)</f>
        <v>3</v>
      </c>
    </row>
    <row r="140" spans="1:64">
      <c r="A140" t="s">
        <v>413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5</v>
      </c>
      <c r="W140">
        <v>3</v>
      </c>
      <c r="X140">
        <v>3</v>
      </c>
      <c r="Y140">
        <v>4</v>
      </c>
      <c r="Z140">
        <v>0</v>
      </c>
      <c r="AA140">
        <v>1</v>
      </c>
      <c r="AB140">
        <v>0</v>
      </c>
      <c r="AC140">
        <v>0</v>
      </c>
      <c r="AD140">
        <v>0</v>
      </c>
      <c r="AE140">
        <v>0</v>
      </c>
      <c r="AF140">
        <f>SUMPRODUCT($B$1:$AE$1,B140:AE140)/SUM(B140:AE140)</f>
        <v>22.625</v>
      </c>
      <c r="AG140">
        <f>B140*(B$1-$AF140)^2</f>
        <v>0</v>
      </c>
      <c r="AH140">
        <f>C140*(C$1-$AF140)^2</f>
        <v>0</v>
      </c>
      <c r="AI140">
        <f>D140*(D$1-$AF140)^2</f>
        <v>0</v>
      </c>
      <c r="AJ140">
        <f>E140*(E$1-$AF140)^2</f>
        <v>0</v>
      </c>
      <c r="AK140">
        <f>F140*(F$1-$AF140)^2</f>
        <v>0</v>
      </c>
      <c r="AL140">
        <f>G140*(G$1-$AF140)^2</f>
        <v>0</v>
      </c>
      <c r="AM140">
        <f>H140*(H$1-$AF140)^2</f>
        <v>0</v>
      </c>
      <c r="AN140">
        <f>I140*(I$1-$AF140)^2</f>
        <v>0</v>
      </c>
      <c r="AO140">
        <f>J140*(J$1-$AF140)^2</f>
        <v>0</v>
      </c>
      <c r="AP140">
        <f>K140*(K$1-$AF140)^2</f>
        <v>0</v>
      </c>
      <c r="AQ140">
        <f>L140*(L$1-$AF140)^2</f>
        <v>0</v>
      </c>
      <c r="AR140">
        <f>M140*(M$1-$AF140)^2</f>
        <v>0</v>
      </c>
      <c r="AS140">
        <f>N140*(N$1-$AF140)^2</f>
        <v>0</v>
      </c>
      <c r="AT140">
        <f>O140*(O$1-$AF140)^2</f>
        <v>0</v>
      </c>
      <c r="AU140">
        <f>P140*(P$1-$AF140)^2</f>
        <v>0</v>
      </c>
      <c r="AV140">
        <f>Q140*(Q$1-$AF140)^2</f>
        <v>0</v>
      </c>
      <c r="AW140">
        <f>R140*(R$1-$AF140)^2</f>
        <v>0</v>
      </c>
      <c r="AX140">
        <f>S140*(S$1-$AF140)^2</f>
        <v>0</v>
      </c>
      <c r="AY140">
        <f>T140*(T$1-$AF140)^2</f>
        <v>0</v>
      </c>
      <c r="AZ140">
        <f>U140*(U$1-$AF140)^2</f>
        <v>0</v>
      </c>
      <c r="BA140">
        <f>V140*(V$1-$AF140)^2</f>
        <v>13.203125</v>
      </c>
      <c r="BB140">
        <f>W140*(W$1-$AF140)^2</f>
        <v>1.171875</v>
      </c>
      <c r="BC140">
        <f>X140*(X$1-$AF140)^2</f>
        <v>0.421875</v>
      </c>
      <c r="BD140">
        <f>Y140*(Y$1-$AF140)^2</f>
        <v>7.5625</v>
      </c>
      <c r="BE140">
        <f>Z140*(Z$1-$AF140)^2</f>
        <v>0</v>
      </c>
      <c r="BF140">
        <f>AA140*(AA$1-$AF140)^2</f>
        <v>11.390625</v>
      </c>
      <c r="BG140">
        <f>AB140*(AB$1-$AF140)^2</f>
        <v>0</v>
      </c>
      <c r="BH140">
        <f>AC140*(AC$1-$AF140)^2</f>
        <v>0</v>
      </c>
      <c r="BI140">
        <f>AD140*(AD$1-$AF140)^2</f>
        <v>0</v>
      </c>
      <c r="BJ140">
        <f>AE140*(AE$1-$AF140)^2</f>
        <v>0</v>
      </c>
      <c r="BK140">
        <f>SQRT(SUM(AG140:BJ140)/SUM(B140:AE140))</f>
        <v>1.4523687548277813</v>
      </c>
      <c r="BL140">
        <f>_xlfn.FLOOR.MATH((AF140-BK140)/5)</f>
        <v>4</v>
      </c>
    </row>
    <row r="141" spans="1:64">
      <c r="A141" t="s">
        <v>414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2</v>
      </c>
      <c r="O141">
        <v>2</v>
      </c>
      <c r="P141">
        <v>3</v>
      </c>
      <c r="Q141">
        <v>11</v>
      </c>
      <c r="R141">
        <v>18</v>
      </c>
      <c r="S141">
        <v>14</v>
      </c>
      <c r="T141">
        <v>27</v>
      </c>
      <c r="U141">
        <v>26</v>
      </c>
      <c r="V141">
        <v>32</v>
      </c>
      <c r="W141">
        <v>28</v>
      </c>
      <c r="X141">
        <v>25</v>
      </c>
      <c r="Y141">
        <v>13</v>
      </c>
      <c r="Z141">
        <v>8</v>
      </c>
      <c r="AA141">
        <v>11</v>
      </c>
      <c r="AB141">
        <v>8</v>
      </c>
      <c r="AC141">
        <v>3</v>
      </c>
      <c r="AD141">
        <v>0</v>
      </c>
      <c r="AE141">
        <v>0</v>
      </c>
      <c r="AF141">
        <f>SUMPRODUCT($B$1:$AE$1,B141:AE141)/SUM(B141:AE141)</f>
        <v>20.84051724137931</v>
      </c>
      <c r="AG141">
        <f>B141*(B$1-$AF141)^2</f>
        <v>0</v>
      </c>
      <c r="AH141">
        <f>C141*(C$1-$AF141)^2</f>
        <v>0</v>
      </c>
      <c r="AI141">
        <f>D141*(D$1-$AF141)^2</f>
        <v>0</v>
      </c>
      <c r="AJ141">
        <f>E141*(E$1-$AF141)^2</f>
        <v>0</v>
      </c>
      <c r="AK141">
        <f>F141*(F$1-$AF141)^2</f>
        <v>0</v>
      </c>
      <c r="AL141">
        <f>G141*(G$1-$AF141)^2</f>
        <v>0</v>
      </c>
      <c r="AM141">
        <f>H141*(H$1-$AF141)^2</f>
        <v>0</v>
      </c>
      <c r="AN141">
        <f>I141*(I$1-$AF141)^2</f>
        <v>164.87888302615931</v>
      </c>
      <c r="AO141">
        <f>J141*(J$1-$AF141)^2</f>
        <v>0</v>
      </c>
      <c r="AP141">
        <f>K141*(K$1-$AF141)^2</f>
        <v>0</v>
      </c>
      <c r="AQ141">
        <f>L141*(L$1-$AF141)^2</f>
        <v>0</v>
      </c>
      <c r="AR141">
        <f>M141*(M$1-$AF141)^2</f>
        <v>0</v>
      </c>
      <c r="AS141">
        <f>N141*(N$1-$AF141)^2</f>
        <v>122.94742122473244</v>
      </c>
      <c r="AT141">
        <f>O141*(O$1-$AF141)^2</f>
        <v>93.585352259215199</v>
      </c>
      <c r="AU141">
        <f>P141*(P$1-$AF141)^2</f>
        <v>102.33492494054694</v>
      </c>
      <c r="AV141">
        <f>Q141*(Q$1-$AF141)^2</f>
        <v>257.73667880499397</v>
      </c>
      <c r="AW141">
        <f>R141*(R$1-$AF141)^2</f>
        <v>265.49230826397138</v>
      </c>
      <c r="AX141">
        <f>S141*(S$1-$AF141)^2</f>
        <v>112.95953478002372</v>
      </c>
      <c r="AY141">
        <f>T141*(T$1-$AF141)^2</f>
        <v>91.462600326991605</v>
      </c>
      <c r="AZ141">
        <f>U141*(U$1-$AF141)^2</f>
        <v>18.368200059452999</v>
      </c>
      <c r="BA141">
        <f>V141*(V$1-$AF141)^2</f>
        <v>0.81391200951249265</v>
      </c>
      <c r="BB141">
        <f>W141*(W$1-$AF141)^2</f>
        <v>37.643207491082094</v>
      </c>
      <c r="BC141">
        <f>X141*(X$1-$AF141)^2</f>
        <v>116.58414461950069</v>
      </c>
      <c r="BD141">
        <f>Y141*(Y$1-$AF141)^2</f>
        <v>129.77030692627829</v>
      </c>
      <c r="BE141">
        <f>Z141*(Z$1-$AF141)^2</f>
        <v>138.4103745541023</v>
      </c>
      <c r="BF141">
        <f>AA141*(AA$1-$AF141)^2</f>
        <v>292.82288570154583</v>
      </c>
      <c r="BG141">
        <f>AB141*(AB$1-$AF141)^2</f>
        <v>303.5138228299644</v>
      </c>
      <c r="BH141">
        <f>AC141*(AC$1-$AF141)^2</f>
        <v>153.77458011296079</v>
      </c>
      <c r="BI141">
        <f>AD141*(AD$1-$AF141)^2</f>
        <v>0</v>
      </c>
      <c r="BJ141">
        <f>AE141*(AE$1-$AF141)^2</f>
        <v>0</v>
      </c>
      <c r="BK141">
        <f>SQRT(SUM(AG141:BJ141)/SUM(B141:AE141))</f>
        <v>3.2184135749399747</v>
      </c>
      <c r="BL141">
        <f>_xlfn.FLOOR.MATH((AF141-BK141)/5)</f>
        <v>3</v>
      </c>
    </row>
    <row r="142" spans="1:64">
      <c r="A142" t="s">
        <v>415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</v>
      </c>
      <c r="Y142">
        <v>4</v>
      </c>
      <c r="Z142">
        <v>1</v>
      </c>
      <c r="AA142">
        <v>0</v>
      </c>
      <c r="AB142">
        <v>1</v>
      </c>
      <c r="AC142">
        <v>0</v>
      </c>
      <c r="AD142">
        <v>0</v>
      </c>
      <c r="AE142">
        <v>0</v>
      </c>
      <c r="AF142">
        <f>SUMPRODUCT($B$1:$AE$1,B142:AE142)/SUM(B142:AE142)</f>
        <v>24.428571428571427</v>
      </c>
      <c r="AG142">
        <f>B142*(B$1-$AF142)^2</f>
        <v>0</v>
      </c>
      <c r="AH142">
        <f>C142*(C$1-$AF142)^2</f>
        <v>0</v>
      </c>
      <c r="AI142">
        <f>D142*(D$1-$AF142)^2</f>
        <v>0</v>
      </c>
      <c r="AJ142">
        <f>E142*(E$1-$AF142)^2</f>
        <v>0</v>
      </c>
      <c r="AK142">
        <f>F142*(F$1-$AF142)^2</f>
        <v>0</v>
      </c>
      <c r="AL142">
        <f>G142*(G$1-$AF142)^2</f>
        <v>0</v>
      </c>
      <c r="AM142">
        <f>H142*(H$1-$AF142)^2</f>
        <v>0</v>
      </c>
      <c r="AN142">
        <f>I142*(I$1-$AF142)^2</f>
        <v>0</v>
      </c>
      <c r="AO142">
        <f>J142*(J$1-$AF142)^2</f>
        <v>0</v>
      </c>
      <c r="AP142">
        <f>K142*(K$1-$AF142)^2</f>
        <v>0</v>
      </c>
      <c r="AQ142">
        <f>L142*(L$1-$AF142)^2</f>
        <v>0</v>
      </c>
      <c r="AR142">
        <f>M142*(M$1-$AF142)^2</f>
        <v>0</v>
      </c>
      <c r="AS142">
        <f>N142*(N$1-$AF142)^2</f>
        <v>0</v>
      </c>
      <c r="AT142">
        <f>O142*(O$1-$AF142)^2</f>
        <v>0</v>
      </c>
      <c r="AU142">
        <f>P142*(P$1-$AF142)^2</f>
        <v>0</v>
      </c>
      <c r="AV142">
        <f>Q142*(Q$1-$AF142)^2</f>
        <v>0</v>
      </c>
      <c r="AW142">
        <f>R142*(R$1-$AF142)^2</f>
        <v>0</v>
      </c>
      <c r="AX142">
        <f>S142*(S$1-$AF142)^2</f>
        <v>0</v>
      </c>
      <c r="AY142">
        <f>T142*(T$1-$AF142)^2</f>
        <v>0</v>
      </c>
      <c r="AZ142">
        <f>U142*(U$1-$AF142)^2</f>
        <v>0</v>
      </c>
      <c r="BA142">
        <f>V142*(V$1-$AF142)^2</f>
        <v>0</v>
      </c>
      <c r="BB142">
        <f>W142*(W$1-$AF142)^2</f>
        <v>0</v>
      </c>
      <c r="BC142">
        <f>X142*(X$1-$AF142)^2</f>
        <v>2.0408163265306078</v>
      </c>
      <c r="BD142">
        <f>Y142*(Y$1-$AF142)^2</f>
        <v>0.73469387755101523</v>
      </c>
      <c r="BE142">
        <f>Z142*(Z$1-$AF142)^2</f>
        <v>0.32653061224489971</v>
      </c>
      <c r="BF142">
        <f>AA142*(AA$1-$AF142)^2</f>
        <v>0</v>
      </c>
      <c r="BG142">
        <f>AB142*(AB$1-$AF142)^2</f>
        <v>6.6122448979591919</v>
      </c>
      <c r="BH142">
        <f>AC142*(AC$1-$AF142)^2</f>
        <v>0</v>
      </c>
      <c r="BI142">
        <f>AD142*(AD$1-$AF142)^2</f>
        <v>0</v>
      </c>
      <c r="BJ142">
        <f>AE142*(AE$1-$AF142)^2</f>
        <v>0</v>
      </c>
      <c r="BK142">
        <f>SQRT(SUM(AG142:BJ142)/SUM(B142:AE142))</f>
        <v>1.1780301787479031</v>
      </c>
      <c r="BL142">
        <f>_xlfn.FLOOR.MATH((AF142-BK142)/5)</f>
        <v>4</v>
      </c>
    </row>
    <row r="143" spans="1:64">
      <c r="A143" t="s">
        <v>416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5</v>
      </c>
      <c r="J143">
        <v>15</v>
      </c>
      <c r="K143">
        <v>15</v>
      </c>
      <c r="L143">
        <v>12</v>
      </c>
      <c r="M143">
        <v>29</v>
      </c>
      <c r="N143">
        <v>20</v>
      </c>
      <c r="O143">
        <v>30</v>
      </c>
      <c r="P143">
        <v>20</v>
      </c>
      <c r="Q143">
        <v>22</v>
      </c>
      <c r="R143">
        <v>22</v>
      </c>
      <c r="S143">
        <v>27</v>
      </c>
      <c r="T143">
        <v>29</v>
      </c>
      <c r="U143">
        <v>16</v>
      </c>
      <c r="V143">
        <v>19</v>
      </c>
      <c r="W143">
        <v>18</v>
      </c>
      <c r="X143">
        <v>15</v>
      </c>
      <c r="Y143">
        <v>5</v>
      </c>
      <c r="Z143">
        <v>3</v>
      </c>
      <c r="AA143">
        <v>1</v>
      </c>
      <c r="AB143">
        <v>1</v>
      </c>
      <c r="AC143">
        <v>0</v>
      </c>
      <c r="AD143">
        <v>0</v>
      </c>
      <c r="AE143">
        <v>0</v>
      </c>
      <c r="AF143">
        <f>SUMPRODUCT($B$1:$AE$1,B143:AE143)/SUM(B143:AE143)</f>
        <v>16.222222222222221</v>
      </c>
      <c r="AG143">
        <f>B143*(B$1-$AF143)^2</f>
        <v>0</v>
      </c>
      <c r="AH143">
        <f>C143*(C$1-$AF143)^2</f>
        <v>0</v>
      </c>
      <c r="AI143">
        <f>D143*(D$1-$AF143)^2</f>
        <v>0</v>
      </c>
      <c r="AJ143">
        <f>E143*(E$1-$AF143)^2</f>
        <v>0</v>
      </c>
      <c r="AK143">
        <f>F143*(F$1-$AF143)^2</f>
        <v>0</v>
      </c>
      <c r="AL143">
        <f>G143*(G$1-$AF143)^2</f>
        <v>0</v>
      </c>
      <c r="AM143">
        <f>H143*(H$1-$AF143)^2</f>
        <v>0</v>
      </c>
      <c r="AN143">
        <f>I143*(I$1-$AF143)^2</f>
        <v>338.0246913580246</v>
      </c>
      <c r="AO143">
        <f>J143*(J$1-$AF143)^2</f>
        <v>782.40740740740716</v>
      </c>
      <c r="AP143">
        <f>K143*(K$1-$AF143)^2</f>
        <v>580.74074074074053</v>
      </c>
      <c r="AQ143">
        <f>L143*(L$1-$AF143)^2</f>
        <v>327.25925925925918</v>
      </c>
      <c r="AR143">
        <f>M143*(M$1-$AF143)^2</f>
        <v>516.98765432098753</v>
      </c>
      <c r="AS143">
        <f>N143*(N$1-$AF143)^2</f>
        <v>207.65432098765422</v>
      </c>
      <c r="AT143">
        <f>O143*(O$1-$AF143)^2</f>
        <v>148.14814814814804</v>
      </c>
      <c r="AU143">
        <f>P143*(P$1-$AF143)^2</f>
        <v>29.876543209876502</v>
      </c>
      <c r="AV143">
        <f>Q143*(Q$1-$AF143)^2</f>
        <v>1.0864197530864121</v>
      </c>
      <c r="AW143">
        <f>R143*(R$1-$AF143)^2</f>
        <v>13.308641975308669</v>
      </c>
      <c r="AX143">
        <f>S143*(S$1-$AF143)^2</f>
        <v>85.333333333333414</v>
      </c>
      <c r="AY143">
        <f>T143*(T$1-$AF143)^2</f>
        <v>223.76543209876556</v>
      </c>
      <c r="AZ143">
        <f>U143*(U$1-$AF143)^2</f>
        <v>228.34567901234578</v>
      </c>
      <c r="BA143">
        <f>V143*(V$1-$AF143)^2</f>
        <v>433.71604938271622</v>
      </c>
      <c r="BB143">
        <f>W143*(W$1-$AF143)^2</f>
        <v>600.88888888888903</v>
      </c>
      <c r="BC143">
        <f>X143*(X$1-$AF143)^2</f>
        <v>689.07407407407413</v>
      </c>
      <c r="BD143">
        <f>Y143*(Y$1-$AF143)^2</f>
        <v>302.46913580246917</v>
      </c>
      <c r="BE143">
        <f>Z143*(Z$1-$AF143)^2</f>
        <v>231.14814814814818</v>
      </c>
      <c r="BF143">
        <f>AA143*(AA$1-$AF143)^2</f>
        <v>95.604938271604951</v>
      </c>
      <c r="BG143">
        <f>AB143*(AB$1-$AF143)^2</f>
        <v>116.16049382716051</v>
      </c>
      <c r="BH143">
        <f>AC143*(AC$1-$AF143)^2</f>
        <v>0</v>
      </c>
      <c r="BI143">
        <f>AD143*(AD$1-$AF143)^2</f>
        <v>0</v>
      </c>
      <c r="BJ143">
        <f>AE143*(AE$1-$AF143)^2</f>
        <v>0</v>
      </c>
      <c r="BK143">
        <f>SQRT(SUM(AG143:BJ143)/SUM(B143:AE143))</f>
        <v>4.2860670048857568</v>
      </c>
      <c r="BL143">
        <f>_xlfn.FLOOR.MATH((AF143-BK143)/5)</f>
        <v>2</v>
      </c>
    </row>
    <row r="144" spans="1:64">
      <c r="A144" t="s">
        <v>417</v>
      </c>
      <c r="B144">
        <v>0</v>
      </c>
      <c r="C144">
        <v>1</v>
      </c>
      <c r="D144">
        <v>2</v>
      </c>
      <c r="E144">
        <v>24</v>
      </c>
      <c r="F144">
        <v>30</v>
      </c>
      <c r="G144">
        <v>18</v>
      </c>
      <c r="H144">
        <v>39</v>
      </c>
      <c r="I144">
        <v>30</v>
      </c>
      <c r="J144">
        <v>26</v>
      </c>
      <c r="K144">
        <v>28</v>
      </c>
      <c r="L144">
        <v>24</v>
      </c>
      <c r="M144">
        <v>29</v>
      </c>
      <c r="N144">
        <v>27</v>
      </c>
      <c r="O144">
        <v>17</v>
      </c>
      <c r="P144">
        <v>14</v>
      </c>
      <c r="Q144">
        <v>12</v>
      </c>
      <c r="R144">
        <v>19</v>
      </c>
      <c r="S144">
        <v>14</v>
      </c>
      <c r="T144">
        <v>8</v>
      </c>
      <c r="U144">
        <v>12</v>
      </c>
      <c r="V144">
        <v>6</v>
      </c>
      <c r="W144">
        <v>6</v>
      </c>
      <c r="X144">
        <v>5</v>
      </c>
      <c r="Y144">
        <v>3</v>
      </c>
      <c r="Z144">
        <v>8</v>
      </c>
      <c r="AA144">
        <v>2</v>
      </c>
      <c r="AB144">
        <v>1</v>
      </c>
      <c r="AC144">
        <v>0</v>
      </c>
      <c r="AD144">
        <v>0</v>
      </c>
      <c r="AE144">
        <v>0</v>
      </c>
      <c r="AF144">
        <f>SUMPRODUCT($B$1:$AE$1,B144:AE144)/SUM(B144:AE144)</f>
        <v>11.562962962962963</v>
      </c>
      <c r="AG144">
        <f>B144*(B$1-$AF144)^2</f>
        <v>0</v>
      </c>
      <c r="AH144">
        <f>C144*(C$1-$AF144)^2</f>
        <v>91.450260631001385</v>
      </c>
      <c r="AI144">
        <f>D144*(D$1-$AF144)^2</f>
        <v>146.64866941015092</v>
      </c>
      <c r="AJ144">
        <f>E144*(E$1-$AF144)^2</f>
        <v>1372.7618106995885</v>
      </c>
      <c r="AK144">
        <f>F144*(F$1-$AF144)^2</f>
        <v>1292.1744855967079</v>
      </c>
      <c r="AL144">
        <f>G144*(G$1-$AF144)^2</f>
        <v>557.03802469135803</v>
      </c>
      <c r="AM144">
        <f>H144*(H$1-$AF144)^2</f>
        <v>812.00460905349803</v>
      </c>
      <c r="AN144">
        <f>I144*(I$1-$AF144)^2</f>
        <v>380.84115226337457</v>
      </c>
      <c r="AO144">
        <f>J144*(J$1-$AF144)^2</f>
        <v>170.78825788751718</v>
      </c>
      <c r="AP144">
        <f>K144*(K$1-$AF144)^2</f>
        <v>68.399890260631039</v>
      </c>
      <c r="AQ144">
        <f>L144*(L$1-$AF144)^2</f>
        <v>7.6062551440329322</v>
      </c>
      <c r="AR144">
        <f>M144*(M$1-$AF144)^2</f>
        <v>5.5390397805212528</v>
      </c>
      <c r="AS144">
        <f>N144*(N$1-$AF144)^2</f>
        <v>55.757037037037009</v>
      </c>
      <c r="AT144">
        <f>O144*(O$1-$AF144)^2</f>
        <v>100.9655418381344</v>
      </c>
      <c r="AU144">
        <f>P144*(P$1-$AF144)^2</f>
        <v>165.38513031550065</v>
      </c>
      <c r="AV144">
        <f>Q144*(Q$1-$AF144)^2</f>
        <v>236.24757201646085</v>
      </c>
      <c r="AW144">
        <f>R144*(R$1-$AF144)^2</f>
        <v>561.66606310013708</v>
      </c>
      <c r="AX144">
        <f>S144*(S$1-$AF144)^2</f>
        <v>580.09624142661175</v>
      </c>
      <c r="AY144">
        <f>T144*(T$1-$AF144)^2</f>
        <v>442.47615912208499</v>
      </c>
      <c r="AZ144">
        <f>U144*(U$1-$AF144)^2</f>
        <v>854.20312757201646</v>
      </c>
      <c r="BA144">
        <f>V144*(V$1-$AF144)^2</f>
        <v>534.34600823045264</v>
      </c>
      <c r="BB144">
        <f>W144*(W$1-$AF144)^2</f>
        <v>653.59045267489705</v>
      </c>
      <c r="BC144">
        <f>X144*(X$1-$AF144)^2</f>
        <v>654.02908093278461</v>
      </c>
      <c r="BD144">
        <f>Y144*(Y$1-$AF144)^2</f>
        <v>464.03967078189299</v>
      </c>
      <c r="BE144">
        <f>Z144*(Z$1-$AF144)^2</f>
        <v>1444.4317146776405</v>
      </c>
      <c r="BF144">
        <f>AA144*(AA$1-$AF144)^2</f>
        <v>416.85607681755829</v>
      </c>
      <c r="BG144">
        <f>AB144*(AB$1-$AF144)^2</f>
        <v>238.3021124828532</v>
      </c>
      <c r="BH144">
        <f>AC144*(AC$1-$AF144)^2</f>
        <v>0</v>
      </c>
      <c r="BI144">
        <f>AD144*(AD$1-$AF144)^2</f>
        <v>0</v>
      </c>
      <c r="BJ144">
        <f>AE144*(AE$1-$AF144)^2</f>
        <v>0</v>
      </c>
      <c r="BK144">
        <f>SQRT(SUM(AG144:BJ144)/SUM(B144:AE144))</f>
        <v>5.512644151569928</v>
      </c>
      <c r="BL144">
        <f>_xlfn.FLOOR.MATH((AF144-BK144)/5)</f>
        <v>1</v>
      </c>
    </row>
    <row r="145" spans="1:64">
      <c r="A145" t="s">
        <v>418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3</v>
      </c>
      <c r="U145">
        <v>4</v>
      </c>
      <c r="V145">
        <v>7</v>
      </c>
      <c r="W145">
        <v>8</v>
      </c>
      <c r="X145">
        <v>5</v>
      </c>
      <c r="Y145">
        <v>2</v>
      </c>
      <c r="Z145">
        <v>3</v>
      </c>
      <c r="AA145">
        <v>0</v>
      </c>
      <c r="AB145">
        <v>2</v>
      </c>
      <c r="AC145">
        <v>1</v>
      </c>
      <c r="AD145">
        <v>0</v>
      </c>
      <c r="AE145">
        <v>0</v>
      </c>
      <c r="AF145">
        <f>SUMPRODUCT($B$1:$AE$1,B145:AE145)/SUM(B145:AE145)</f>
        <v>22.285714285714285</v>
      </c>
      <c r="AG145">
        <f>B145*(B$1-$AF145)^2</f>
        <v>0</v>
      </c>
      <c r="AH145">
        <f>C145*(C$1-$AF145)^2</f>
        <v>0</v>
      </c>
      <c r="AI145">
        <f>D145*(D$1-$AF145)^2</f>
        <v>0</v>
      </c>
      <c r="AJ145">
        <f>E145*(E$1-$AF145)^2</f>
        <v>0</v>
      </c>
      <c r="AK145">
        <f>F145*(F$1-$AF145)^2</f>
        <v>0</v>
      </c>
      <c r="AL145">
        <f>G145*(G$1-$AF145)^2</f>
        <v>0</v>
      </c>
      <c r="AM145">
        <f>H145*(H$1-$AF145)^2</f>
        <v>0</v>
      </c>
      <c r="AN145">
        <f>I145*(I$1-$AF145)^2</f>
        <v>0</v>
      </c>
      <c r="AO145">
        <f>J145*(J$1-$AF145)^2</f>
        <v>0</v>
      </c>
      <c r="AP145">
        <f>K145*(K$1-$AF145)^2</f>
        <v>0</v>
      </c>
      <c r="AQ145">
        <f>L145*(L$1-$AF145)^2</f>
        <v>0</v>
      </c>
      <c r="AR145">
        <f>M145*(M$1-$AF145)^2</f>
        <v>0</v>
      </c>
      <c r="AS145">
        <f>N145*(N$1-$AF145)^2</f>
        <v>0</v>
      </c>
      <c r="AT145">
        <f>O145*(O$1-$AF145)^2</f>
        <v>0</v>
      </c>
      <c r="AU145">
        <f>P145*(P$1-$AF145)^2</f>
        <v>0</v>
      </c>
      <c r="AV145">
        <f>Q145*(Q$1-$AF145)^2</f>
        <v>0</v>
      </c>
      <c r="AW145">
        <f>R145*(R$1-$AF145)^2</f>
        <v>0</v>
      </c>
      <c r="AX145">
        <f>S145*(S$1-$AF145)^2</f>
        <v>0</v>
      </c>
      <c r="AY145">
        <f>T145*(T$1-$AF145)^2</f>
        <v>32.387755102040799</v>
      </c>
      <c r="AZ145">
        <f>U145*(U$1-$AF145)^2</f>
        <v>20.89795918367345</v>
      </c>
      <c r="BA145">
        <f>V145*(V$1-$AF145)^2</f>
        <v>11.571428571428553</v>
      </c>
      <c r="BB145">
        <f>W145*(W$1-$AF145)^2</f>
        <v>0.65306122448979131</v>
      </c>
      <c r="BC145">
        <f>X145*(X$1-$AF145)^2</f>
        <v>2.5510204081632724</v>
      </c>
      <c r="BD145">
        <f>Y145*(Y$1-$AF145)^2</f>
        <v>5.8775510204081698</v>
      </c>
      <c r="BE145">
        <f>Z145*(Z$1-$AF145)^2</f>
        <v>22.102040816326546</v>
      </c>
      <c r="BF145">
        <f>AA145*(AA$1-$AF145)^2</f>
        <v>0</v>
      </c>
      <c r="BG145">
        <f>AB145*(AB$1-$AF145)^2</f>
        <v>44.448979591836753</v>
      </c>
      <c r="BH145">
        <f>AC145*(AC$1-$AF145)^2</f>
        <v>32.653061224489811</v>
      </c>
      <c r="BI145">
        <f>AD145*(AD$1-$AF145)^2</f>
        <v>0</v>
      </c>
      <c r="BJ145">
        <f>AE145*(AE$1-$AF145)^2</f>
        <v>0</v>
      </c>
      <c r="BK145">
        <f>SQRT(SUM(AG145:BJ145)/SUM(B145:AE145))</f>
        <v>2.224171480688979</v>
      </c>
      <c r="BL145">
        <f>_xlfn.FLOOR.MATH((AF145-BK145)/5)</f>
        <v>4</v>
      </c>
    </row>
    <row r="146" spans="1:64">
      <c r="A146" t="s">
        <v>419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2</v>
      </c>
      <c r="J146">
        <v>1</v>
      </c>
      <c r="K146">
        <v>4</v>
      </c>
      <c r="L146">
        <v>3</v>
      </c>
      <c r="M146">
        <v>2</v>
      </c>
      <c r="N146">
        <v>2</v>
      </c>
      <c r="O146">
        <v>7</v>
      </c>
      <c r="P146">
        <v>3</v>
      </c>
      <c r="Q146">
        <v>5</v>
      </c>
      <c r="R146">
        <v>6</v>
      </c>
      <c r="S146">
        <v>8</v>
      </c>
      <c r="T146">
        <v>6</v>
      </c>
      <c r="U146">
        <v>7</v>
      </c>
      <c r="V146">
        <v>6</v>
      </c>
      <c r="W146">
        <v>7</v>
      </c>
      <c r="X146">
        <v>4</v>
      </c>
      <c r="Y146">
        <v>2</v>
      </c>
      <c r="Z146">
        <v>1</v>
      </c>
      <c r="AA146">
        <v>0</v>
      </c>
      <c r="AB146">
        <v>0</v>
      </c>
      <c r="AC146">
        <v>0</v>
      </c>
      <c r="AD146">
        <v>0</v>
      </c>
      <c r="AE146">
        <v>1</v>
      </c>
      <c r="AF146">
        <f>SUMPRODUCT($B$1:$AE$1,B146:AE146)/SUM(B146:AE146)</f>
        <v>17.480519480519479</v>
      </c>
      <c r="AG146">
        <f>B146*(B$1-$AF146)^2</f>
        <v>0</v>
      </c>
      <c r="AH146">
        <f>C146*(C$1-$AF146)^2</f>
        <v>0</v>
      </c>
      <c r="AI146">
        <f>D146*(D$1-$AF146)^2</f>
        <v>0</v>
      </c>
      <c r="AJ146">
        <f>E146*(E$1-$AF146)^2</f>
        <v>0</v>
      </c>
      <c r="AK146">
        <f>F146*(F$1-$AF146)^2</f>
        <v>0</v>
      </c>
      <c r="AL146">
        <f>G146*(G$1-$AF146)^2</f>
        <v>0</v>
      </c>
      <c r="AM146">
        <f>H146*(H$1-$AF146)^2</f>
        <v>0</v>
      </c>
      <c r="AN146">
        <f>I146*(I$1-$AF146)^2</f>
        <v>179.76049924101869</v>
      </c>
      <c r="AO146">
        <f>J146*(J$1-$AF146)^2</f>
        <v>71.91921065947038</v>
      </c>
      <c r="AP146">
        <f>K146*(K$1-$AF146)^2</f>
        <v>223.83268679372568</v>
      </c>
      <c r="AQ146">
        <f>L146*(L$1-$AF146)^2</f>
        <v>125.99139821217739</v>
      </c>
      <c r="AR146">
        <f>M146*(M$1-$AF146)^2</f>
        <v>60.072187552707007</v>
      </c>
      <c r="AS146">
        <f>N146*(N$1-$AF146)^2</f>
        <v>40.150109630629089</v>
      </c>
      <c r="AT146">
        <f>O146*(O$1-$AF146)^2</f>
        <v>84.798110979929106</v>
      </c>
      <c r="AU146">
        <f>P146*(P$1-$AF146)^2</f>
        <v>18.458930679709887</v>
      </c>
      <c r="AV146">
        <f>Q146*(Q$1-$AF146)^2</f>
        <v>10.959689660988348</v>
      </c>
      <c r="AW146">
        <f>R146*(R$1-$AF146)^2</f>
        <v>1.3853938269522623</v>
      </c>
      <c r="AX146">
        <f>S146*(S$1-$AF146)^2</f>
        <v>2.1588800809580118</v>
      </c>
      <c r="AY146">
        <f>T146*(T$1-$AF146)^2</f>
        <v>13.852926294484757</v>
      </c>
      <c r="AZ146">
        <f>U146*(U$1-$AF146)^2</f>
        <v>44.434474616292839</v>
      </c>
      <c r="BA146">
        <f>V146*(V$1-$AF146)^2</f>
        <v>74.320458762017253</v>
      </c>
      <c r="BB146">
        <f>W146*(W$1-$AF146)^2</f>
        <v>142.97992916174741</v>
      </c>
      <c r="BC146">
        <f>X146*(X$1-$AF146)^2</f>
        <v>121.85866081969982</v>
      </c>
      <c r="BD146">
        <f>Y146*(Y$1-$AF146)^2</f>
        <v>85.007252487771993</v>
      </c>
      <c r="BE146">
        <f>Z146*(Z$1-$AF146)^2</f>
        <v>56.542587282847037</v>
      </c>
      <c r="BF146">
        <f>AA146*(AA$1-$AF146)^2</f>
        <v>0</v>
      </c>
      <c r="BG146">
        <f>AB146*(AB$1-$AF146)^2</f>
        <v>0</v>
      </c>
      <c r="BH146">
        <f>AC146*(AC$1-$AF146)^2</f>
        <v>0</v>
      </c>
      <c r="BI146">
        <f>AD146*(AD$1-$AF146)^2</f>
        <v>0</v>
      </c>
      <c r="BJ146">
        <f>AE146*(AE$1-$AF146)^2</f>
        <v>156.73739247765224</v>
      </c>
      <c r="BK146">
        <f>SQRT(SUM(AG146:BJ146)/SUM(B146:AE146))</f>
        <v>4.4360108135499621</v>
      </c>
      <c r="BL146">
        <f>_xlfn.FLOOR.MATH((AF146-BK146)/5)</f>
        <v>2</v>
      </c>
    </row>
    <row r="147" spans="1:64">
      <c r="A147" t="s">
        <v>420</v>
      </c>
      <c r="B147">
        <v>0</v>
      </c>
      <c r="C147">
        <v>0</v>
      </c>
      <c r="D147">
        <v>0</v>
      </c>
      <c r="E147">
        <v>2</v>
      </c>
      <c r="F147">
        <v>2</v>
      </c>
      <c r="G147">
        <v>2</v>
      </c>
      <c r="H147">
        <v>5</v>
      </c>
      <c r="I147">
        <v>2</v>
      </c>
      <c r="J147">
        <v>4</v>
      </c>
      <c r="K147">
        <v>4</v>
      </c>
      <c r="L147">
        <v>3</v>
      </c>
      <c r="M147">
        <v>1</v>
      </c>
      <c r="N147">
        <v>6</v>
      </c>
      <c r="O147">
        <v>4</v>
      </c>
      <c r="P147">
        <v>1</v>
      </c>
      <c r="Q147">
        <v>3</v>
      </c>
      <c r="R147">
        <v>2</v>
      </c>
      <c r="S147">
        <v>3</v>
      </c>
      <c r="T147">
        <v>4</v>
      </c>
      <c r="U147">
        <v>1</v>
      </c>
      <c r="V147">
        <v>4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1</v>
      </c>
      <c r="AC147">
        <v>0</v>
      </c>
      <c r="AD147">
        <v>0</v>
      </c>
      <c r="AE147">
        <v>0</v>
      </c>
      <c r="AF147">
        <f>SUMPRODUCT($B$1:$AE$1,B147:AE147)/SUM(B147:AE147)</f>
        <v>12.851851851851851</v>
      </c>
      <c r="AG147">
        <f>B147*(B$1-$AF147)^2</f>
        <v>0</v>
      </c>
      <c r="AH147">
        <f>C147*(C$1-$AF147)^2</f>
        <v>0</v>
      </c>
      <c r="AI147">
        <f>D147*(D$1-$AF147)^2</f>
        <v>0</v>
      </c>
      <c r="AJ147">
        <f>E147*(E$1-$AF147)^2</f>
        <v>156.71056241426609</v>
      </c>
      <c r="AK147">
        <f>F147*(F$1-$AF147)^2</f>
        <v>123.30315500685869</v>
      </c>
      <c r="AL147">
        <f>G147*(G$1-$AF147)^2</f>
        <v>93.895747599451283</v>
      </c>
      <c r="AM147">
        <f>H147*(H$1-$AF147)^2</f>
        <v>171.2208504801097</v>
      </c>
      <c r="AN147">
        <f>I147*(I$1-$AF147)^2</f>
        <v>47.080932784636474</v>
      </c>
      <c r="AO147">
        <f>J147*(J$1-$AF147)^2</f>
        <v>59.347050754458138</v>
      </c>
      <c r="AP147">
        <f>K147*(K$1-$AF147)^2</f>
        <v>32.532235939643328</v>
      </c>
      <c r="AQ147">
        <f>L147*(L$1-$AF147)^2</f>
        <v>10.288065843621393</v>
      </c>
      <c r="AR147">
        <f>M147*(M$1-$AF147)^2</f>
        <v>0.72565157750342824</v>
      </c>
      <c r="AS147">
        <f>N147*(N$1-$AF147)^2</f>
        <v>0.13168724279835509</v>
      </c>
      <c r="AT147">
        <f>O147*(O$1-$AF147)^2</f>
        <v>5.2729766803840938</v>
      </c>
      <c r="AU147">
        <f>P147*(P$1-$AF147)^2</f>
        <v>4.6145404663923211</v>
      </c>
      <c r="AV147">
        <f>Q147*(Q$1-$AF147)^2</f>
        <v>29.732510288065853</v>
      </c>
      <c r="AW147">
        <f>R147*(R$1-$AF147)^2</f>
        <v>34.414266117969831</v>
      </c>
      <c r="AX147">
        <f>S147*(S$1-$AF147)^2</f>
        <v>79.510288065843639</v>
      </c>
      <c r="AY147">
        <f>T147*(T$1-$AF147)^2</f>
        <v>151.19890260631004</v>
      </c>
      <c r="AZ147">
        <f>U147*(U$1-$AF147)^2</f>
        <v>51.096021947873808</v>
      </c>
      <c r="BA147">
        <f>V147*(V$1-$AF147)^2</f>
        <v>265.56927297668045</v>
      </c>
      <c r="BB147">
        <f>W147*(W$1-$AF147)^2</f>
        <v>0</v>
      </c>
      <c r="BC147">
        <f>X147*(X$1-$AF147)^2</f>
        <v>0</v>
      </c>
      <c r="BD147">
        <f>Y147*(Y$1-$AF147)^2</f>
        <v>0</v>
      </c>
      <c r="BE147">
        <f>Z147*(Z$1-$AF147)^2</f>
        <v>0</v>
      </c>
      <c r="BF147">
        <f>AA147*(AA$1-$AF147)^2</f>
        <v>0</v>
      </c>
      <c r="BG147">
        <f>AB147*(AB$1-$AF147)^2</f>
        <v>200.1700960219479</v>
      </c>
      <c r="BH147">
        <f>AC147*(AC$1-$AF147)^2</f>
        <v>0</v>
      </c>
      <c r="BI147">
        <f>AD147*(AD$1-$AF147)^2</f>
        <v>0</v>
      </c>
      <c r="BJ147">
        <f>AE147*(AE$1-$AF147)^2</f>
        <v>0</v>
      </c>
      <c r="BK147">
        <f>SQRT(SUM(AG147:BJ147)/SUM(B147:AE147))</f>
        <v>5.299921059535829</v>
      </c>
      <c r="BL147">
        <f>_xlfn.FLOOR.MATH((AF147-BK147)/5)</f>
        <v>1</v>
      </c>
    </row>
    <row r="148" spans="1:64">
      <c r="A148" t="s">
        <v>421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1</v>
      </c>
      <c r="M148">
        <v>0</v>
      </c>
      <c r="N148">
        <v>4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f>SUMPRODUCT($B$1:$AE$1,B148:AE148)/SUM(B148:AE148)</f>
        <v>13.142857142857142</v>
      </c>
      <c r="AG148">
        <f>B148*(B$1-$AF148)^2</f>
        <v>0</v>
      </c>
      <c r="AH148">
        <f>C148*(C$1-$AF148)^2</f>
        <v>0</v>
      </c>
      <c r="AI148">
        <f>D148*(D$1-$AF148)^2</f>
        <v>0</v>
      </c>
      <c r="AJ148">
        <f>E148*(E$1-$AF148)^2</f>
        <v>0</v>
      </c>
      <c r="AK148">
        <f>F148*(F$1-$AF148)^2</f>
        <v>0</v>
      </c>
      <c r="AL148">
        <f>G148*(G$1-$AF148)^2</f>
        <v>0</v>
      </c>
      <c r="AM148">
        <f>H148*(H$1-$AF148)^2</f>
        <v>0</v>
      </c>
      <c r="AN148">
        <f>I148*(I$1-$AF148)^2</f>
        <v>0</v>
      </c>
      <c r="AO148">
        <f>J148*(J$1-$AF148)^2</f>
        <v>17.163265306122444</v>
      </c>
      <c r="AP148">
        <f>K148*(K$1-$AF148)^2</f>
        <v>0</v>
      </c>
      <c r="AQ148">
        <f>L148*(L$1-$AF148)^2</f>
        <v>4.5918367346938753</v>
      </c>
      <c r="AR148">
        <f>M148*(M$1-$AF148)^2</f>
        <v>0</v>
      </c>
      <c r="AS148">
        <f>N148*(N$1-$AF148)^2</f>
        <v>8.1632653061223914E-2</v>
      </c>
      <c r="AT148">
        <f>O148*(O$1-$AF148)^2</f>
        <v>0</v>
      </c>
      <c r="AU148">
        <f>P148*(P$1-$AF148)^2</f>
        <v>0</v>
      </c>
      <c r="AV148">
        <f>Q148*(Q$1-$AF148)^2</f>
        <v>0</v>
      </c>
      <c r="AW148">
        <f>R148*(R$1-$AF148)^2</f>
        <v>0</v>
      </c>
      <c r="AX148">
        <f>S148*(S$1-$AF148)^2</f>
        <v>0</v>
      </c>
      <c r="AY148">
        <f>T148*(T$1-$AF148)^2</f>
        <v>0</v>
      </c>
      <c r="AZ148">
        <f>U148*(U$1-$AF148)^2</f>
        <v>47.020408163265316</v>
      </c>
      <c r="BA148">
        <f>V148*(V$1-$AF148)^2</f>
        <v>0</v>
      </c>
      <c r="BB148">
        <f>W148*(W$1-$AF148)^2</f>
        <v>0</v>
      </c>
      <c r="BC148">
        <f>X148*(X$1-$AF148)^2</f>
        <v>0</v>
      </c>
      <c r="BD148">
        <f>Y148*(Y$1-$AF148)^2</f>
        <v>0</v>
      </c>
      <c r="BE148">
        <f>Z148*(Z$1-$AF148)^2</f>
        <v>0</v>
      </c>
      <c r="BF148">
        <f>AA148*(AA$1-$AF148)^2</f>
        <v>0</v>
      </c>
      <c r="BG148">
        <f>AB148*(AB$1-$AF148)^2</f>
        <v>0</v>
      </c>
      <c r="BH148">
        <f>AC148*(AC$1-$AF148)^2</f>
        <v>0</v>
      </c>
      <c r="BI148">
        <f>AD148*(AD$1-$AF148)^2</f>
        <v>0</v>
      </c>
      <c r="BJ148">
        <f>AE148*(AE$1-$AF148)^2</f>
        <v>0</v>
      </c>
      <c r="BK148">
        <f>SQRT(SUM(AG148:BJ148)/SUM(B148:AE148))</f>
        <v>3.1363569143000212</v>
      </c>
      <c r="BL148">
        <f>_xlfn.FLOOR.MATH((AF148-BK148)/5)</f>
        <v>2</v>
      </c>
    </row>
    <row r="149" spans="1:64">
      <c r="A149" t="s">
        <v>422</v>
      </c>
      <c r="B149">
        <v>0</v>
      </c>
      <c r="C149">
        <v>0</v>
      </c>
      <c r="D149">
        <v>0</v>
      </c>
      <c r="E149">
        <v>0</v>
      </c>
      <c r="F149">
        <v>3</v>
      </c>
      <c r="G149">
        <v>1</v>
      </c>
      <c r="H149">
        <v>1</v>
      </c>
      <c r="I149">
        <v>1</v>
      </c>
      <c r="J149">
        <v>3</v>
      </c>
      <c r="K149">
        <v>5</v>
      </c>
      <c r="L149">
        <v>4</v>
      </c>
      <c r="M149">
        <v>3</v>
      </c>
      <c r="N149">
        <v>1</v>
      </c>
      <c r="O149">
        <v>1</v>
      </c>
      <c r="P149">
        <v>5</v>
      </c>
      <c r="Q149">
        <v>2</v>
      </c>
      <c r="R149">
        <v>1</v>
      </c>
      <c r="S149">
        <v>3</v>
      </c>
      <c r="T149">
        <v>1</v>
      </c>
      <c r="U149">
        <v>2</v>
      </c>
      <c r="V149">
        <v>0</v>
      </c>
      <c r="W149">
        <v>3</v>
      </c>
      <c r="X149">
        <v>1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f>SUMPRODUCT($B$1:$AE$1,B149:AE149)/SUM(B149:AE149)</f>
        <v>13.317073170731707</v>
      </c>
      <c r="AG149">
        <f>B149*(B$1-$AF149)^2</f>
        <v>0</v>
      </c>
      <c r="AH149">
        <f>C149*(C$1-$AF149)^2</f>
        <v>0</v>
      </c>
      <c r="AI149">
        <f>D149*(D$1-$AF149)^2</f>
        <v>0</v>
      </c>
      <c r="AJ149">
        <f>E149*(E$1-$AF149)^2</f>
        <v>0</v>
      </c>
      <c r="AK149">
        <f>F149*(F$1-$AF149)^2</f>
        <v>207.5211183819155</v>
      </c>
      <c r="AL149">
        <f>G149*(G$1-$AF149)^2</f>
        <v>53.539559785841753</v>
      </c>
      <c r="AM149">
        <f>H149*(H$1-$AF149)^2</f>
        <v>39.90541344437834</v>
      </c>
      <c r="AN149">
        <f>I149*(I$1-$AF149)^2</f>
        <v>28.271267102914926</v>
      </c>
      <c r="AO149">
        <f>J149*(J$1-$AF149)^2</f>
        <v>55.911362284354539</v>
      </c>
      <c r="AP149">
        <f>K149*(K$1-$AF149)^2</f>
        <v>55.01487209994049</v>
      </c>
      <c r="AQ149">
        <f>L149*(L$1-$AF149)^2</f>
        <v>21.475312314098741</v>
      </c>
      <c r="AR149">
        <f>M149*(M$1-$AF149)^2</f>
        <v>5.2040452111838142</v>
      </c>
      <c r="AS149">
        <f>N149*(N$1-$AF149)^2</f>
        <v>0.10053539559785803</v>
      </c>
      <c r="AT149">
        <f>O149*(O$1-$AF149)^2</f>
        <v>0.46638905413444459</v>
      </c>
      <c r="AU149">
        <f>P149*(P$1-$AF149)^2</f>
        <v>14.161213563355155</v>
      </c>
      <c r="AV149">
        <f>Q149*(Q$1-$AF149)^2</f>
        <v>14.396192742415236</v>
      </c>
      <c r="AW149">
        <f>R149*(R$1-$AF149)^2</f>
        <v>13.563950029744204</v>
      </c>
      <c r="AX149">
        <f>S149*(S$1-$AF149)^2</f>
        <v>65.789411064842369</v>
      </c>
      <c r="AY149">
        <f>T149*(T$1-$AF149)^2</f>
        <v>32.295657346817379</v>
      </c>
      <c r="AZ149">
        <f>U149*(U$1-$AF149)^2</f>
        <v>89.32302201070793</v>
      </c>
      <c r="BA149">
        <f>V149*(V$1-$AF149)^2</f>
        <v>0</v>
      </c>
      <c r="BB149">
        <f>W149*(W$1-$AF149)^2</f>
        <v>226.17965496728141</v>
      </c>
      <c r="BC149">
        <f>X149*(X$1-$AF149)^2</f>
        <v>93.759071980963725</v>
      </c>
      <c r="BD149">
        <f>Y149*(Y$1-$AF149)^2</f>
        <v>0</v>
      </c>
      <c r="BE149">
        <f>Z149*(Z$1-$AF149)^2</f>
        <v>0</v>
      </c>
      <c r="BF149">
        <f>AA149*(AA$1-$AF149)^2</f>
        <v>0</v>
      </c>
      <c r="BG149">
        <f>AB149*(AB$1-$AF149)^2</f>
        <v>0</v>
      </c>
      <c r="BH149">
        <f>AC149*(AC$1-$AF149)^2</f>
        <v>0</v>
      </c>
      <c r="BI149">
        <f>AD149*(AD$1-$AF149)^2</f>
        <v>0</v>
      </c>
      <c r="BJ149">
        <f>AE149*(AE$1-$AF149)^2</f>
        <v>0</v>
      </c>
      <c r="BK149">
        <f>SQRT(SUM(AG149:BJ149)/SUM(B149:AE149))</f>
        <v>4.9801509644580442</v>
      </c>
      <c r="BL149">
        <f>_xlfn.FLOOR.MATH((AF149-BK149)/5)</f>
        <v>1</v>
      </c>
    </row>
    <row r="150" spans="1:64">
      <c r="A150" t="s">
        <v>423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1</v>
      </c>
      <c r="O150">
        <v>1</v>
      </c>
      <c r="P150">
        <v>0</v>
      </c>
      <c r="Q150">
        <v>0</v>
      </c>
      <c r="R150">
        <v>1</v>
      </c>
      <c r="S150">
        <v>1</v>
      </c>
      <c r="T150">
        <v>3</v>
      </c>
      <c r="U150">
        <v>3</v>
      </c>
      <c r="V150">
        <v>2</v>
      </c>
      <c r="W150">
        <v>3</v>
      </c>
      <c r="X150">
        <v>8</v>
      </c>
      <c r="Y150">
        <v>5</v>
      </c>
      <c r="Z150">
        <v>4</v>
      </c>
      <c r="AA150">
        <v>2</v>
      </c>
      <c r="AB150">
        <v>1</v>
      </c>
      <c r="AC150">
        <v>2</v>
      </c>
      <c r="AD150">
        <v>0</v>
      </c>
      <c r="AE150">
        <v>0</v>
      </c>
      <c r="AF150">
        <f>SUMPRODUCT($B$1:$AE$1,B150:AE150)/SUM(B150:AE150)</f>
        <v>22.324324324324323</v>
      </c>
      <c r="AG150">
        <f>B150*(B$1-$AF150)^2</f>
        <v>0</v>
      </c>
      <c r="AH150">
        <f>C150*(C$1-$AF150)^2</f>
        <v>0</v>
      </c>
      <c r="AI150">
        <f>D150*(D$1-$AF150)^2</f>
        <v>0</v>
      </c>
      <c r="AJ150">
        <f>E150*(E$1-$AF150)^2</f>
        <v>0</v>
      </c>
      <c r="AK150">
        <f>F150*(F$1-$AF150)^2</f>
        <v>0</v>
      </c>
      <c r="AL150">
        <f>G150*(G$1-$AF150)^2</f>
        <v>0</v>
      </c>
      <c r="AM150">
        <f>H150*(H$1-$AF150)^2</f>
        <v>0</v>
      </c>
      <c r="AN150">
        <f>I150*(I$1-$AF150)^2</f>
        <v>0</v>
      </c>
      <c r="AO150">
        <f>J150*(J$1-$AF150)^2</f>
        <v>0</v>
      </c>
      <c r="AP150">
        <f>K150*(K$1-$AF150)^2</f>
        <v>0</v>
      </c>
      <c r="AQ150">
        <f>L150*(L$1-$AF150)^2</f>
        <v>0</v>
      </c>
      <c r="AR150">
        <f>M150*(M$1-$AF150)^2</f>
        <v>0</v>
      </c>
      <c r="AS150">
        <f>N150*(N$1-$AF150)^2</f>
        <v>86.94302410518624</v>
      </c>
      <c r="AT150">
        <f>O150*(O$1-$AF150)^2</f>
        <v>69.294375456537594</v>
      </c>
      <c r="AU150">
        <f>P150*(P$1-$AF150)^2</f>
        <v>0</v>
      </c>
      <c r="AV150">
        <f>Q150*(Q$1-$AF150)^2</f>
        <v>0</v>
      </c>
      <c r="AW150">
        <f>R150*(R$1-$AF150)^2</f>
        <v>28.348429510591657</v>
      </c>
      <c r="AX150">
        <f>S150*(S$1-$AF150)^2</f>
        <v>18.699780861943012</v>
      </c>
      <c r="AY150">
        <f>T150*(T$1-$AF150)^2</f>
        <v>33.153396639883098</v>
      </c>
      <c r="AZ150">
        <f>U150*(U$1-$AF150)^2</f>
        <v>16.207450693937158</v>
      </c>
      <c r="BA150">
        <f>V150*(V$1-$AF150)^2</f>
        <v>3.5076698319941482</v>
      </c>
      <c r="BB150">
        <f>W150*(W$1-$AF150)^2</f>
        <v>0.31555880204528552</v>
      </c>
      <c r="BC150">
        <f>X150*(X$1-$AF150)^2</f>
        <v>3.6523009495982635</v>
      </c>
      <c r="BD150">
        <f>Y150*(Y$1-$AF150)^2</f>
        <v>14.039444850255688</v>
      </c>
      <c r="BE150">
        <f>Z150*(Z$1-$AF150)^2</f>
        <v>28.636961285609967</v>
      </c>
      <c r="BF150">
        <f>AA150*(AA$1-$AF150)^2</f>
        <v>27.021183345507694</v>
      </c>
      <c r="BG150">
        <f>AB150*(AB$1-$AF150)^2</f>
        <v>21.861943024105202</v>
      </c>
      <c r="BH150">
        <f>AC150*(AC$1-$AF150)^2</f>
        <v>64.426588750913112</v>
      </c>
      <c r="BI150">
        <f>AD150*(AD$1-$AF150)^2</f>
        <v>0</v>
      </c>
      <c r="BJ150">
        <f>AE150*(AE$1-$AF150)^2</f>
        <v>0</v>
      </c>
      <c r="BK150">
        <f>SQRT(SUM(AG150:BJ150)/SUM(B150:AE150))</f>
        <v>3.3535302419991564</v>
      </c>
      <c r="BL150">
        <f>_xlfn.FLOOR.MATH((AF150-BK150)/5)</f>
        <v>3</v>
      </c>
    </row>
    <row r="151" spans="1:64">
      <c r="A151" t="s">
        <v>424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1</v>
      </c>
      <c r="O151">
        <v>1</v>
      </c>
      <c r="P151">
        <v>2</v>
      </c>
      <c r="Q151">
        <v>1</v>
      </c>
      <c r="R151">
        <v>2</v>
      </c>
      <c r="S151">
        <v>5</v>
      </c>
      <c r="T151">
        <v>3</v>
      </c>
      <c r="U151">
        <v>3</v>
      </c>
      <c r="V151">
        <v>4</v>
      </c>
      <c r="W151">
        <v>1</v>
      </c>
      <c r="X151">
        <v>5</v>
      </c>
      <c r="Y151">
        <v>2</v>
      </c>
      <c r="Z151">
        <v>1</v>
      </c>
      <c r="AA151">
        <v>1</v>
      </c>
      <c r="AB151">
        <v>0</v>
      </c>
      <c r="AC151">
        <v>1</v>
      </c>
      <c r="AD151">
        <v>0</v>
      </c>
      <c r="AE151">
        <v>0</v>
      </c>
      <c r="AF151">
        <f>SUMPRODUCT($B$1:$AE$1,B151:AE151)/SUM(B151:AE151)</f>
        <v>19.823529411764707</v>
      </c>
      <c r="AG151">
        <f>B151*(B$1-$AF151)^2</f>
        <v>0</v>
      </c>
      <c r="AH151">
        <f>C151*(C$1-$AF151)^2</f>
        <v>0</v>
      </c>
      <c r="AI151">
        <f>D151*(D$1-$AF151)^2</f>
        <v>0</v>
      </c>
      <c r="AJ151">
        <f>E151*(E$1-$AF151)^2</f>
        <v>0</v>
      </c>
      <c r="AK151">
        <f>F151*(F$1-$AF151)^2</f>
        <v>0</v>
      </c>
      <c r="AL151">
        <f>G151*(G$1-$AF151)^2</f>
        <v>0</v>
      </c>
      <c r="AM151">
        <f>H151*(H$1-$AF151)^2</f>
        <v>0</v>
      </c>
      <c r="AN151">
        <f>I151*(I$1-$AF151)^2</f>
        <v>0</v>
      </c>
      <c r="AO151">
        <f>J151*(J$1-$AF151)^2</f>
        <v>0</v>
      </c>
      <c r="AP151">
        <f>K151*(K$1-$AF151)^2</f>
        <v>0</v>
      </c>
      <c r="AQ151">
        <f>L151*(L$1-$AF151)^2</f>
        <v>0</v>
      </c>
      <c r="AR151">
        <f>M151*(M$1-$AF151)^2</f>
        <v>61.207612456747412</v>
      </c>
      <c r="AS151">
        <f>N151*(N$1-$AF151)^2</f>
        <v>46.560553633217999</v>
      </c>
      <c r="AT151">
        <f>O151*(O$1-$AF151)^2</f>
        <v>33.913494809688586</v>
      </c>
      <c r="AU151">
        <f>P151*(P$1-$AF151)^2</f>
        <v>46.532871972318354</v>
      </c>
      <c r="AV151">
        <f>Q151*(Q$1-$AF151)^2</f>
        <v>14.619377162629762</v>
      </c>
      <c r="AW151">
        <f>R151*(R$1-$AF151)^2</f>
        <v>15.944636678200698</v>
      </c>
      <c r="AX151">
        <f>S151*(S$1-$AF151)^2</f>
        <v>16.626297577854682</v>
      </c>
      <c r="AY151">
        <f>T151*(T$1-$AF151)^2</f>
        <v>2.0346020761245707</v>
      </c>
      <c r="AZ151">
        <f>U151*(U$1-$AF151)^2</f>
        <v>9.3425605536331516E-2</v>
      </c>
      <c r="BA151">
        <f>V151*(V$1-$AF151)^2</f>
        <v>5.5363321799307901</v>
      </c>
      <c r="BB151">
        <f>W151*(W$1-$AF151)^2</f>
        <v>4.7370242214532841</v>
      </c>
      <c r="BC151">
        <f>X151*(X$1-$AF151)^2</f>
        <v>50.449826989619353</v>
      </c>
      <c r="BD151">
        <f>Y151*(Y$1-$AF151)^2</f>
        <v>34.88581314878892</v>
      </c>
      <c r="BE151">
        <f>Z151*(Z$1-$AF151)^2</f>
        <v>26.795847750865047</v>
      </c>
      <c r="BF151">
        <f>AA151*(AA$1-$AF151)^2</f>
        <v>38.14878892733563</v>
      </c>
      <c r="BG151">
        <f>AB151*(AB$1-$AF151)^2</f>
        <v>0</v>
      </c>
      <c r="BH151">
        <f>AC151*(AC$1-$AF151)^2</f>
        <v>66.854671280276804</v>
      </c>
      <c r="BI151">
        <f>AD151*(AD$1-$AF151)^2</f>
        <v>0</v>
      </c>
      <c r="BJ151">
        <f>AE151*(AE$1-$AF151)^2</f>
        <v>0</v>
      </c>
      <c r="BK151">
        <f>SQRT(SUM(AG151:BJ151)/SUM(B151:AE151))</f>
        <v>3.6979373283533437</v>
      </c>
      <c r="BL151">
        <f>_xlfn.FLOOR.MATH((AF151-BK151)/5)</f>
        <v>3</v>
      </c>
    </row>
    <row r="152" spans="1:64">
      <c r="A152" t="s">
        <v>425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2</v>
      </c>
      <c r="S152">
        <v>2</v>
      </c>
      <c r="T152">
        <v>1</v>
      </c>
      <c r="U152">
        <v>0</v>
      </c>
      <c r="V152">
        <v>2</v>
      </c>
      <c r="W152">
        <v>0</v>
      </c>
      <c r="X152">
        <v>2</v>
      </c>
      <c r="Y152">
        <v>1</v>
      </c>
      <c r="Z152">
        <v>1</v>
      </c>
      <c r="AA152">
        <v>1</v>
      </c>
      <c r="AB152">
        <v>0</v>
      </c>
      <c r="AC152">
        <v>1</v>
      </c>
      <c r="AD152">
        <v>0</v>
      </c>
      <c r="AE152">
        <v>0</v>
      </c>
      <c r="AF152">
        <f>SUMPRODUCT($B$1:$AE$1,B152:AE152)/SUM(B152:AE152)</f>
        <v>21</v>
      </c>
      <c r="AG152">
        <f>B152*(B$1-$AF152)^2</f>
        <v>0</v>
      </c>
      <c r="AH152">
        <f>C152*(C$1-$AF152)^2</f>
        <v>0</v>
      </c>
      <c r="AI152">
        <f>D152*(D$1-$AF152)^2</f>
        <v>0</v>
      </c>
      <c r="AJ152">
        <f>E152*(E$1-$AF152)^2</f>
        <v>0</v>
      </c>
      <c r="AK152">
        <f>F152*(F$1-$AF152)^2</f>
        <v>0</v>
      </c>
      <c r="AL152">
        <f>G152*(G$1-$AF152)^2</f>
        <v>0</v>
      </c>
      <c r="AM152">
        <f>H152*(H$1-$AF152)^2</f>
        <v>0</v>
      </c>
      <c r="AN152">
        <f>I152*(I$1-$AF152)^2</f>
        <v>0</v>
      </c>
      <c r="AO152">
        <f>J152*(J$1-$AF152)^2</f>
        <v>0</v>
      </c>
      <c r="AP152">
        <f>K152*(K$1-$AF152)^2</f>
        <v>0</v>
      </c>
      <c r="AQ152">
        <f>L152*(L$1-$AF152)^2</f>
        <v>0</v>
      </c>
      <c r="AR152">
        <f>M152*(M$1-$AF152)^2</f>
        <v>0</v>
      </c>
      <c r="AS152">
        <f>N152*(N$1-$AF152)^2</f>
        <v>0</v>
      </c>
      <c r="AT152">
        <f>O152*(O$1-$AF152)^2</f>
        <v>49</v>
      </c>
      <c r="AU152">
        <f>P152*(P$1-$AF152)^2</f>
        <v>0</v>
      </c>
      <c r="AV152">
        <f>Q152*(Q$1-$AF152)^2</f>
        <v>0</v>
      </c>
      <c r="AW152">
        <f>R152*(R$1-$AF152)^2</f>
        <v>32</v>
      </c>
      <c r="AX152">
        <f>S152*(S$1-$AF152)^2</f>
        <v>18</v>
      </c>
      <c r="AY152">
        <f>T152*(T$1-$AF152)^2</f>
        <v>4</v>
      </c>
      <c r="AZ152">
        <f>U152*(U$1-$AF152)^2</f>
        <v>0</v>
      </c>
      <c r="BA152">
        <f>V152*(V$1-$AF152)^2</f>
        <v>0</v>
      </c>
      <c r="BB152">
        <f>W152*(W$1-$AF152)^2</f>
        <v>0</v>
      </c>
      <c r="BC152">
        <f>X152*(X$1-$AF152)^2</f>
        <v>8</v>
      </c>
      <c r="BD152">
        <f>Y152*(Y$1-$AF152)^2</f>
        <v>9</v>
      </c>
      <c r="BE152">
        <f>Z152*(Z$1-$AF152)^2</f>
        <v>16</v>
      </c>
      <c r="BF152">
        <f>AA152*(AA$1-$AF152)^2</f>
        <v>25</v>
      </c>
      <c r="BG152">
        <f>AB152*(AB$1-$AF152)^2</f>
        <v>0</v>
      </c>
      <c r="BH152">
        <f>AC152*(AC$1-$AF152)^2</f>
        <v>49</v>
      </c>
      <c r="BI152">
        <f>AD152*(AD$1-$AF152)^2</f>
        <v>0</v>
      </c>
      <c r="BJ152">
        <f>AE152*(AE$1-$AF152)^2</f>
        <v>0</v>
      </c>
      <c r="BK152">
        <f>SQRT(SUM(AG152:BJ152)/SUM(B152:AE152))</f>
        <v>3.872983346207417</v>
      </c>
      <c r="BL152">
        <f>_xlfn.FLOOR.MATH((AF152-BK152)/5)</f>
        <v>3</v>
      </c>
    </row>
    <row r="153" spans="1:64">
      <c r="A153" t="s">
        <v>426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3</v>
      </c>
      <c r="V153">
        <v>5</v>
      </c>
      <c r="W153">
        <v>2</v>
      </c>
      <c r="X153">
        <v>5</v>
      </c>
      <c r="Y153">
        <v>2</v>
      </c>
      <c r="Z153">
        <v>1</v>
      </c>
      <c r="AA153">
        <v>1</v>
      </c>
      <c r="AB153">
        <v>1</v>
      </c>
      <c r="AC153">
        <v>0</v>
      </c>
      <c r="AD153">
        <v>0</v>
      </c>
      <c r="AE153">
        <v>0</v>
      </c>
      <c r="AF153">
        <f>SUMPRODUCT($B$1:$AE$1,B153:AE153)/SUM(B153:AE153)</f>
        <v>22.142857142857142</v>
      </c>
      <c r="AG153">
        <f>B153*(B$1-$AF153)^2</f>
        <v>0</v>
      </c>
      <c r="AH153">
        <f>C153*(C$1-$AF153)^2</f>
        <v>0</v>
      </c>
      <c r="AI153">
        <f>D153*(D$1-$AF153)^2</f>
        <v>0</v>
      </c>
      <c r="AJ153">
        <f>E153*(E$1-$AF153)^2</f>
        <v>0</v>
      </c>
      <c r="AK153">
        <f>F153*(F$1-$AF153)^2</f>
        <v>0</v>
      </c>
      <c r="AL153">
        <f>G153*(G$1-$AF153)^2</f>
        <v>0</v>
      </c>
      <c r="AM153">
        <f>H153*(H$1-$AF153)^2</f>
        <v>0</v>
      </c>
      <c r="AN153">
        <f>I153*(I$1-$AF153)^2</f>
        <v>0</v>
      </c>
      <c r="AO153">
        <f>J153*(J$1-$AF153)^2</f>
        <v>0</v>
      </c>
      <c r="AP153">
        <f>K153*(K$1-$AF153)^2</f>
        <v>0</v>
      </c>
      <c r="AQ153">
        <f>L153*(L$1-$AF153)^2</f>
        <v>0</v>
      </c>
      <c r="AR153">
        <f>M153*(M$1-$AF153)^2</f>
        <v>0</v>
      </c>
      <c r="AS153">
        <f>N153*(N$1-$AF153)^2</f>
        <v>0</v>
      </c>
      <c r="AT153">
        <f>O153*(O$1-$AF153)^2</f>
        <v>0</v>
      </c>
      <c r="AU153">
        <f>P153*(P$1-$AF153)^2</f>
        <v>51.020408163265301</v>
      </c>
      <c r="AV153">
        <f>Q153*(Q$1-$AF153)^2</f>
        <v>0</v>
      </c>
      <c r="AW153">
        <f>R153*(R$1-$AF153)^2</f>
        <v>0</v>
      </c>
      <c r="AX153">
        <f>S153*(S$1-$AF153)^2</f>
        <v>0</v>
      </c>
      <c r="AY153">
        <f>T153*(T$1-$AF153)^2</f>
        <v>0</v>
      </c>
      <c r="AZ153">
        <f>U153*(U$1-$AF153)^2</f>
        <v>13.775510204081627</v>
      </c>
      <c r="BA153">
        <f>V153*(V$1-$AF153)^2</f>
        <v>6.5306122448979531</v>
      </c>
      <c r="BB153">
        <f>W153*(W$1-$AF153)^2</f>
        <v>4.0816326530611957E-2</v>
      </c>
      <c r="BC153">
        <f>X153*(X$1-$AF153)^2</f>
        <v>3.6734693877551061</v>
      </c>
      <c r="BD153">
        <f>Y153*(Y$1-$AF153)^2</f>
        <v>6.897959183673473</v>
      </c>
      <c r="BE153">
        <f>Z153*(Z$1-$AF153)^2</f>
        <v>8.1632653061224527</v>
      </c>
      <c r="BF153">
        <f>AA153*(AA$1-$AF153)^2</f>
        <v>14.877551020408168</v>
      </c>
      <c r="BG153">
        <f>AB153*(AB$1-$AF153)^2</f>
        <v>23.591836734693882</v>
      </c>
      <c r="BH153">
        <f>AC153*(AC$1-$AF153)^2</f>
        <v>0</v>
      </c>
      <c r="BI153">
        <f>AD153*(AD$1-$AF153)^2</f>
        <v>0</v>
      </c>
      <c r="BJ153">
        <f>AE153*(AE$1-$AF153)^2</f>
        <v>0</v>
      </c>
      <c r="BK153">
        <f>SQRT(SUM(AG153:BJ153)/SUM(B153:AE153))</f>
        <v>2.4743582965269675</v>
      </c>
      <c r="BL153">
        <f>_xlfn.FLOOR.MATH((AF153-BK153)/5)</f>
        <v>3</v>
      </c>
    </row>
    <row r="154" spans="1:64">
      <c r="A154" t="s">
        <v>427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</v>
      </c>
      <c r="L154">
        <v>5</v>
      </c>
      <c r="M154">
        <v>4</v>
      </c>
      <c r="N154">
        <v>6</v>
      </c>
      <c r="O154">
        <v>2</v>
      </c>
      <c r="P154">
        <v>3</v>
      </c>
      <c r="Q154">
        <v>3</v>
      </c>
      <c r="R154">
        <v>7</v>
      </c>
      <c r="S154">
        <v>2</v>
      </c>
      <c r="T154">
        <v>3</v>
      </c>
      <c r="U154">
        <v>6</v>
      </c>
      <c r="V154">
        <v>6</v>
      </c>
      <c r="W154">
        <v>6</v>
      </c>
      <c r="X154">
        <v>4</v>
      </c>
      <c r="Y154">
        <v>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f>SUMPRODUCT($B$1:$AE$1,B154:AE154)/SUM(B154:AE154)</f>
        <v>17.254237288135592</v>
      </c>
      <c r="AG154">
        <f>B154*(B$1-$AF154)^2</f>
        <v>0</v>
      </c>
      <c r="AH154">
        <f>C154*(C$1-$AF154)^2</f>
        <v>0</v>
      </c>
      <c r="AI154">
        <f>D154*(D$1-$AF154)^2</f>
        <v>0</v>
      </c>
      <c r="AJ154">
        <f>E154*(E$1-$AF154)^2</f>
        <v>0</v>
      </c>
      <c r="AK154">
        <f>F154*(F$1-$AF154)^2</f>
        <v>0</v>
      </c>
      <c r="AL154">
        <f>G154*(G$1-$AF154)^2</f>
        <v>0</v>
      </c>
      <c r="AM154">
        <f>H154*(H$1-$AF154)^2</f>
        <v>0</v>
      </c>
      <c r="AN154">
        <f>I154*(I$1-$AF154)^2</f>
        <v>0</v>
      </c>
      <c r="AO154">
        <f>J154*(J$1-$AF154)^2</f>
        <v>0</v>
      </c>
      <c r="AP154">
        <f>K154*(K$1-$AF154)^2</f>
        <v>52.623958632576823</v>
      </c>
      <c r="AQ154">
        <f>L154*(L$1-$AF154)^2</f>
        <v>195.57742028152819</v>
      </c>
      <c r="AR154">
        <f>M154*(M$1-$AF154)^2</f>
        <v>110.42803792013783</v>
      </c>
      <c r="AS154">
        <f>N154*(N$1-$AF154)^2</f>
        <v>108.59120942257964</v>
      </c>
      <c r="AT154">
        <f>O154*(O$1-$AF154)^2</f>
        <v>21.180120654984179</v>
      </c>
      <c r="AU154">
        <f>P154*(P$1-$AF154)^2</f>
        <v>15.244757253662719</v>
      </c>
      <c r="AV154">
        <f>Q154*(Q$1-$AF154)^2</f>
        <v>4.7193335248491692</v>
      </c>
      <c r="AW154">
        <f>R154*(R$1-$AF154)^2</f>
        <v>0.45245619074977894</v>
      </c>
      <c r="AX154">
        <f>S154*(S$1-$AF154)^2</f>
        <v>1.1123240448147131</v>
      </c>
      <c r="AY154">
        <f>T154*(T$1-$AF154)^2</f>
        <v>9.1430623384085195</v>
      </c>
      <c r="AZ154">
        <f>U154*(U$1-$AF154)^2</f>
        <v>45.235277219189939</v>
      </c>
      <c r="BA154">
        <f>V154*(V$1-$AF154)^2</f>
        <v>84.184429761562839</v>
      </c>
      <c r="BB154">
        <f>W154*(W$1-$AF154)^2</f>
        <v>135.13358230393573</v>
      </c>
      <c r="BC154">
        <f>X154*(X$1-$AF154)^2</f>
        <v>132.05515656420576</v>
      </c>
      <c r="BD154">
        <f>Y154*(Y$1-$AF154)^2</f>
        <v>45.505314564780257</v>
      </c>
      <c r="BE154">
        <f>Z154*(Z$1-$AF154)^2</f>
        <v>0</v>
      </c>
      <c r="BF154">
        <f>AA154*(AA$1-$AF154)^2</f>
        <v>0</v>
      </c>
      <c r="BG154">
        <f>AB154*(AB$1-$AF154)^2</f>
        <v>0</v>
      </c>
      <c r="BH154">
        <f>AC154*(AC$1-$AF154)^2</f>
        <v>0</v>
      </c>
      <c r="BI154">
        <f>AD154*(AD$1-$AF154)^2</f>
        <v>0</v>
      </c>
      <c r="BJ154">
        <f>AE154*(AE$1-$AF154)^2</f>
        <v>0</v>
      </c>
      <c r="BK154">
        <f>SQRT(SUM(AG154:BJ154)/SUM(B154:AE154))</f>
        <v>4.0362477134971897</v>
      </c>
      <c r="BL154">
        <f>_xlfn.FLOOR.MATH((AF154-BK154)/5)</f>
        <v>2</v>
      </c>
    </row>
    <row r="155" spans="1:64">
      <c r="A155" t="s">
        <v>428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1</v>
      </c>
      <c r="W155">
        <v>1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2</v>
      </c>
      <c r="AD155">
        <v>0</v>
      </c>
      <c r="AE155">
        <v>0</v>
      </c>
      <c r="AF155">
        <f>SUMPRODUCT($B$1:$AE$1,B155:AE155)/SUM(B155:AE155)</f>
        <v>24.75</v>
      </c>
      <c r="AG155">
        <f>B155*(B$1-$AF155)^2</f>
        <v>0</v>
      </c>
      <c r="AH155">
        <f>C155*(C$1-$AF155)^2</f>
        <v>0</v>
      </c>
      <c r="AI155">
        <f>D155*(D$1-$AF155)^2</f>
        <v>0</v>
      </c>
      <c r="AJ155">
        <f>E155*(E$1-$AF155)^2</f>
        <v>0</v>
      </c>
      <c r="AK155">
        <f>F155*(F$1-$AF155)^2</f>
        <v>0</v>
      </c>
      <c r="AL155">
        <f>G155*(G$1-$AF155)^2</f>
        <v>0</v>
      </c>
      <c r="AM155">
        <f>H155*(H$1-$AF155)^2</f>
        <v>0</v>
      </c>
      <c r="AN155">
        <f>I155*(I$1-$AF155)^2</f>
        <v>0</v>
      </c>
      <c r="AO155">
        <f>J155*(J$1-$AF155)^2</f>
        <v>0</v>
      </c>
      <c r="AP155">
        <f>K155*(K$1-$AF155)^2</f>
        <v>0</v>
      </c>
      <c r="AQ155">
        <f>L155*(L$1-$AF155)^2</f>
        <v>0</v>
      </c>
      <c r="AR155">
        <f>M155*(M$1-$AF155)^2</f>
        <v>0</v>
      </c>
      <c r="AS155">
        <f>N155*(N$1-$AF155)^2</f>
        <v>0</v>
      </c>
      <c r="AT155">
        <f>O155*(O$1-$AF155)^2</f>
        <v>0</v>
      </c>
      <c r="AU155">
        <f>P155*(P$1-$AF155)^2</f>
        <v>0</v>
      </c>
      <c r="AV155">
        <f>Q155*(Q$1-$AF155)^2</f>
        <v>0</v>
      </c>
      <c r="AW155">
        <f>R155*(R$1-$AF155)^2</f>
        <v>0</v>
      </c>
      <c r="AX155">
        <f>S155*(S$1-$AF155)^2</f>
        <v>0</v>
      </c>
      <c r="AY155">
        <f>T155*(T$1-$AF155)^2</f>
        <v>0</v>
      </c>
      <c r="AZ155">
        <f>U155*(U$1-$AF155)^2</f>
        <v>0</v>
      </c>
      <c r="BA155">
        <f>V155*(V$1-$AF155)^2</f>
        <v>14.0625</v>
      </c>
      <c r="BB155">
        <f>W155*(W$1-$AF155)^2</f>
        <v>7.5625</v>
      </c>
      <c r="BC155">
        <f>X155*(X$1-$AF155)^2</f>
        <v>0</v>
      </c>
      <c r="BD155">
        <f>Y155*(Y$1-$AF155)^2</f>
        <v>0</v>
      </c>
      <c r="BE155">
        <f>Z155*(Z$1-$AF155)^2</f>
        <v>0</v>
      </c>
      <c r="BF155">
        <f>AA155*(AA$1-$AF155)^2</f>
        <v>0</v>
      </c>
      <c r="BG155">
        <f>AB155*(AB$1-$AF155)^2</f>
        <v>0</v>
      </c>
      <c r="BH155">
        <f>AC155*(AC$1-$AF155)^2</f>
        <v>21.125</v>
      </c>
      <c r="BI155">
        <f>AD155*(AD$1-$AF155)^2</f>
        <v>0</v>
      </c>
      <c r="BJ155">
        <f>AE155*(AE$1-$AF155)^2</f>
        <v>0</v>
      </c>
      <c r="BK155">
        <f>SQRT(SUM(AG155:BJ155)/SUM(B155:AE155))</f>
        <v>3.2691742076555053</v>
      </c>
      <c r="BL155">
        <f>_xlfn.FLOOR.MATH((AF155-BK155)/5)</f>
        <v>4</v>
      </c>
    </row>
    <row r="156" spans="1:64">
      <c r="A156" t="s">
        <v>429</v>
      </c>
      <c r="B156">
        <v>0</v>
      </c>
      <c r="C156">
        <v>1</v>
      </c>
      <c r="D156">
        <v>2</v>
      </c>
      <c r="E156">
        <v>5</v>
      </c>
      <c r="F156">
        <v>9</v>
      </c>
      <c r="G156">
        <v>5</v>
      </c>
      <c r="H156">
        <v>2</v>
      </c>
      <c r="I156">
        <v>3</v>
      </c>
      <c r="J156">
        <v>4</v>
      </c>
      <c r="K156">
        <v>12</v>
      </c>
      <c r="L156">
        <v>8</v>
      </c>
      <c r="M156">
        <v>8</v>
      </c>
      <c r="N156">
        <v>13</v>
      </c>
      <c r="O156">
        <v>9</v>
      </c>
      <c r="P156">
        <v>4</v>
      </c>
      <c r="Q156">
        <v>12</v>
      </c>
      <c r="R156">
        <v>8</v>
      </c>
      <c r="S156">
        <v>5</v>
      </c>
      <c r="T156">
        <v>5</v>
      </c>
      <c r="U156">
        <v>8</v>
      </c>
      <c r="V156">
        <v>8</v>
      </c>
      <c r="W156">
        <v>8</v>
      </c>
      <c r="X156">
        <v>7</v>
      </c>
      <c r="Y156">
        <v>6</v>
      </c>
      <c r="Z156">
        <v>6</v>
      </c>
      <c r="AA156">
        <v>6</v>
      </c>
      <c r="AB156">
        <v>2</v>
      </c>
      <c r="AC156">
        <v>0</v>
      </c>
      <c r="AD156">
        <v>2</v>
      </c>
      <c r="AE156">
        <v>2</v>
      </c>
      <c r="AF156">
        <f>SUMPRODUCT($B$1:$AE$1,B156:AE156)/SUM(B156:AE156)</f>
        <v>15.505882352941176</v>
      </c>
      <c r="AG156">
        <f>B156*(B$1-$AF156)^2</f>
        <v>0</v>
      </c>
      <c r="AH156">
        <f>C156*(C$1-$AF156)^2</f>
        <v>182.40885813148788</v>
      </c>
      <c r="AI156">
        <f>D156*(D$1-$AF156)^2</f>
        <v>312.79418685121107</v>
      </c>
      <c r="AJ156">
        <f>E156*(E$1-$AF156)^2</f>
        <v>661.92664359861601</v>
      </c>
      <c r="AK156">
        <f>F156*(F$1-$AF156)^2</f>
        <v>993.36207612456747</v>
      </c>
      <c r="AL156">
        <f>G156*(G$1-$AF156)^2</f>
        <v>451.80899653979236</v>
      </c>
      <c r="AM156">
        <f>H156*(H$1-$AF156)^2</f>
        <v>144.70006920415224</v>
      </c>
      <c r="AN156">
        <f>I156*(I$1-$AF156)^2</f>
        <v>169.01480968858132</v>
      </c>
      <c r="AO156">
        <f>J156*(J$1-$AF156)^2</f>
        <v>169.30602076124566</v>
      </c>
      <c r="AP156">
        <f>K156*(K$1-$AF156)^2</f>
        <v>363.77688581314879</v>
      </c>
      <c r="AQ156">
        <f>L156*(L$1-$AF156)^2</f>
        <v>162.42380622837371</v>
      </c>
      <c r="AR156">
        <f>M156*(M$1-$AF156)^2</f>
        <v>98.329688581314883</v>
      </c>
      <c r="AS156">
        <f>N156*(N$1-$AF156)^2</f>
        <v>81.632802768166087</v>
      </c>
      <c r="AT156">
        <f>O156*(O$1-$AF156)^2</f>
        <v>20.409134948096884</v>
      </c>
      <c r="AU156">
        <f>P156*(P$1-$AF156)^2</f>
        <v>1.023667820069204</v>
      </c>
      <c r="AV156">
        <f>Q156*(Q$1-$AF156)^2</f>
        <v>2.9298269896193774</v>
      </c>
      <c r="AW156">
        <f>R156*(R$1-$AF156)^2</f>
        <v>17.85910034602076</v>
      </c>
      <c r="AX156">
        <f>S156*(S$1-$AF156)^2</f>
        <v>31.103114186851212</v>
      </c>
      <c r="AY156">
        <f>T156*(T$1-$AF156)^2</f>
        <v>61.044290657439447</v>
      </c>
      <c r="AZ156">
        <f>U156*(U$1-$AF156)^2</f>
        <v>161.5767474048443</v>
      </c>
      <c r="BA156">
        <f>V156*(V$1-$AF156)^2</f>
        <v>241.48262975778547</v>
      </c>
      <c r="BB156">
        <f>W156*(W$1-$AF156)^2</f>
        <v>337.38851211072665</v>
      </c>
      <c r="BC156">
        <f>X156*(X$1-$AF156)^2</f>
        <v>393.13259515570934</v>
      </c>
      <c r="BD156">
        <f>Y156*(Y$1-$AF156)^2</f>
        <v>432.90020761245671</v>
      </c>
      <c r="BE156">
        <f>Z156*(Z$1-$AF156)^2</f>
        <v>540.82961937716266</v>
      </c>
      <c r="BF156">
        <f>AA156*(AA$1-$AF156)^2</f>
        <v>660.75903114186849</v>
      </c>
      <c r="BG156">
        <f>AB156*(AB$1-$AF156)^2</f>
        <v>264.22948096885813</v>
      </c>
      <c r="BH156">
        <f>AC156*(AC$1-$AF156)^2</f>
        <v>0</v>
      </c>
      <c r="BI156">
        <f>AD156*(AD$1-$AF156)^2</f>
        <v>364.1824221453287</v>
      </c>
      <c r="BJ156">
        <f>AE156*(AE$1-$AF156)^2</f>
        <v>420.15889273356402</v>
      </c>
      <c r="BK156">
        <f>SQRT(SUM(AG156:BJ156)/SUM(B156:AE156))</f>
        <v>6.7486356432232073</v>
      </c>
      <c r="BL156">
        <f>_xlfn.FLOOR.MATH((AF156-BK156)/5)</f>
        <v>1</v>
      </c>
    </row>
    <row r="157" spans="1:64">
      <c r="A157" t="s">
        <v>430</v>
      </c>
      <c r="B157">
        <v>0</v>
      </c>
      <c r="C157">
        <v>0</v>
      </c>
      <c r="D157">
        <v>0</v>
      </c>
      <c r="E157">
        <v>1</v>
      </c>
      <c r="F157">
        <v>5</v>
      </c>
      <c r="G157">
        <v>8</v>
      </c>
      <c r="H157">
        <v>24</v>
      </c>
      <c r="I157">
        <v>24</v>
      </c>
      <c r="J157">
        <v>32</v>
      </c>
      <c r="K157">
        <v>39</v>
      </c>
      <c r="L157">
        <v>53</v>
      </c>
      <c r="M157">
        <v>48</v>
      </c>
      <c r="N157">
        <v>76</v>
      </c>
      <c r="O157">
        <v>73</v>
      </c>
      <c r="P157">
        <v>66</v>
      </c>
      <c r="Q157">
        <v>50</v>
      </c>
      <c r="R157">
        <v>73</v>
      </c>
      <c r="S157">
        <v>62</v>
      </c>
      <c r="T157">
        <v>53</v>
      </c>
      <c r="U157">
        <v>39</v>
      </c>
      <c r="V157">
        <v>37</v>
      </c>
      <c r="W157">
        <v>44</v>
      </c>
      <c r="X157">
        <v>15</v>
      </c>
      <c r="Y157">
        <v>15</v>
      </c>
      <c r="Z157">
        <v>4</v>
      </c>
      <c r="AA157">
        <v>15</v>
      </c>
      <c r="AB157">
        <v>5</v>
      </c>
      <c r="AC157">
        <v>0</v>
      </c>
      <c r="AD157">
        <v>0</v>
      </c>
      <c r="AE157">
        <v>0</v>
      </c>
      <c r="AF157">
        <f>SUMPRODUCT($B$1:$AE$1,B157:AE157)/SUM(B157:AE157)</f>
        <v>15.439024390243903</v>
      </c>
      <c r="AG157">
        <f>B157*(B$1-$AF157)^2</f>
        <v>0</v>
      </c>
      <c r="AH157">
        <f>C157*(C$1-$AF157)^2</f>
        <v>0</v>
      </c>
      <c r="AI157">
        <f>D157*(D$1-$AF157)^2</f>
        <v>0</v>
      </c>
      <c r="AJ157">
        <f>E157*(E$1-$AF157)^2</f>
        <v>130.8512790005949</v>
      </c>
      <c r="AK157">
        <f>F157*(F$1-$AF157)^2</f>
        <v>544.86615110053538</v>
      </c>
      <c r="AL157">
        <f>G157*(G$1-$AF157)^2</f>
        <v>712.76145151695425</v>
      </c>
      <c r="AM157">
        <f>H157*(H$1-$AF157)^2</f>
        <v>1709.2111838191554</v>
      </c>
      <c r="AN157">
        <f>I157*(I$1-$AF157)^2</f>
        <v>1328.1380130874481</v>
      </c>
      <c r="AO157">
        <f>J157*(J$1-$AF157)^2</f>
        <v>1326.7531231409876</v>
      </c>
      <c r="AP157">
        <f>K157*(K$1-$AF157)^2</f>
        <v>1153.7364663890544</v>
      </c>
      <c r="AQ157">
        <f>L157*(L$1-$AF157)^2</f>
        <v>1044.3616894705535</v>
      </c>
      <c r="AR157">
        <f>M157*(M$1-$AF157)^2</f>
        <v>567.69066032123749</v>
      </c>
      <c r="AS157">
        <f>N157*(N$1-$AF157)^2</f>
        <v>452.11183819155281</v>
      </c>
      <c r="AT157">
        <f>O157*(O$1-$AF157)^2</f>
        <v>151.16775728732904</v>
      </c>
      <c r="AU157">
        <f>P157*(P$1-$AF157)^2</f>
        <v>12.720999405116025</v>
      </c>
      <c r="AV157">
        <f>Q157*(Q$1-$AF157)^2</f>
        <v>15.734681737061251</v>
      </c>
      <c r="AW157">
        <f>R157*(R$1-$AF157)^2</f>
        <v>177.87507436049961</v>
      </c>
      <c r="AX157">
        <f>S157*(S$1-$AF157)^2</f>
        <v>406.63295657346805</v>
      </c>
      <c r="AY157">
        <f>T157*(T$1-$AF157)^2</f>
        <v>672.06900654372384</v>
      </c>
      <c r="AZ157">
        <f>U157*(U$1-$AF157)^2</f>
        <v>811.29744199881009</v>
      </c>
      <c r="BA157">
        <f>V157*(V$1-$AF157)^2</f>
        <v>1144.2046400951813</v>
      </c>
      <c r="BB157">
        <f>W157*(W$1-$AF157)^2</f>
        <v>1894.0416418798332</v>
      </c>
      <c r="BC157">
        <f>X157*(X$1-$AF157)^2</f>
        <v>857.52528256989876</v>
      </c>
      <c r="BD157">
        <f>Y157*(Y$1-$AF157)^2</f>
        <v>1099.3545508625816</v>
      </c>
      <c r="BE157">
        <f>Z157*(Z$1-$AF157)^2</f>
        <v>365.64901844140388</v>
      </c>
      <c r="BF157">
        <f>AA157*(AA$1-$AF157)^2</f>
        <v>1673.0130874479476</v>
      </c>
      <c r="BG157">
        <f>AB157*(AB$1-$AF157)^2</f>
        <v>668.2807852468768</v>
      </c>
      <c r="BH157">
        <f>AC157*(AC$1-$AF157)^2</f>
        <v>0</v>
      </c>
      <c r="BI157">
        <f>AD157*(AD$1-$AF157)^2</f>
        <v>0</v>
      </c>
      <c r="BJ157">
        <f>AE157*(AE$1-$AF157)^2</f>
        <v>0</v>
      </c>
      <c r="BK157">
        <f>SQRT(SUM(AG157:BJ157)/SUM(B157:AE157))</f>
        <v>4.6876971928155244</v>
      </c>
      <c r="BL157">
        <f>_xlfn.FLOOR.MATH((AF157-BK157)/5)</f>
        <v>2</v>
      </c>
    </row>
    <row r="158" spans="1:64">
      <c r="A158" t="s">
        <v>431</v>
      </c>
      <c r="B158">
        <v>0</v>
      </c>
      <c r="C158">
        <v>0</v>
      </c>
      <c r="D158">
        <v>0</v>
      </c>
      <c r="E158">
        <v>4</v>
      </c>
      <c r="F158">
        <v>5</v>
      </c>
      <c r="G158">
        <v>11</v>
      </c>
      <c r="H158">
        <v>11</v>
      </c>
      <c r="I158">
        <v>15</v>
      </c>
      <c r="J158">
        <v>21</v>
      </c>
      <c r="K158">
        <v>24</v>
      </c>
      <c r="L158">
        <v>20</v>
      </c>
      <c r="M158">
        <v>23</v>
      </c>
      <c r="N158">
        <v>27</v>
      </c>
      <c r="O158">
        <v>17</v>
      </c>
      <c r="P158">
        <v>16</v>
      </c>
      <c r="Q158">
        <v>19</v>
      </c>
      <c r="R158">
        <v>14</v>
      </c>
      <c r="S158">
        <v>15</v>
      </c>
      <c r="T158">
        <v>7</v>
      </c>
      <c r="U158">
        <v>12</v>
      </c>
      <c r="V158">
        <v>11</v>
      </c>
      <c r="W158">
        <v>10</v>
      </c>
      <c r="X158">
        <v>8</v>
      </c>
      <c r="Y158">
        <v>6</v>
      </c>
      <c r="Z158">
        <v>2</v>
      </c>
      <c r="AA158">
        <v>4</v>
      </c>
      <c r="AB158">
        <v>1</v>
      </c>
      <c r="AC158">
        <v>0</v>
      </c>
      <c r="AD158">
        <v>0</v>
      </c>
      <c r="AE158">
        <v>0</v>
      </c>
      <c r="AF158">
        <f>SUMPRODUCT($B$1:$AE$1,B158:AE158)/SUM(B158:AE158)</f>
        <v>13.871287128712872</v>
      </c>
      <c r="AG158">
        <f>B158*(B$1-$AF158)^2</f>
        <v>0</v>
      </c>
      <c r="AH158">
        <f>C158*(C$1-$AF158)^2</f>
        <v>0</v>
      </c>
      <c r="AI158">
        <f>D158*(D$1-$AF158)^2</f>
        <v>0</v>
      </c>
      <c r="AJ158">
        <f>E158*(E$1-$AF158)^2</f>
        <v>389.76923830996969</v>
      </c>
      <c r="AK158">
        <f>F158*(F$1-$AF158)^2</f>
        <v>393.4986766003334</v>
      </c>
      <c r="AL158">
        <f>G158*(G$1-$AF158)^2</f>
        <v>681.52877168905025</v>
      </c>
      <c r="AM158">
        <f>H158*(H$1-$AF158)^2</f>
        <v>519.36045485736702</v>
      </c>
      <c r="AN158">
        <f>I158*(I$1-$AF158)^2</f>
        <v>517.08018821684163</v>
      </c>
      <c r="AO158">
        <f>J158*(J$1-$AF158)^2</f>
        <v>498.31820409763759</v>
      </c>
      <c r="AP158">
        <f>K158*(K$1-$AF158)^2</f>
        <v>359.6847367905109</v>
      </c>
      <c r="AQ158">
        <f>L158*(L$1-$AF158)^2</f>
        <v>164.88579551024418</v>
      </c>
      <c r="AR158">
        <f>M158*(M$1-$AF158)^2</f>
        <v>80.539456915988694</v>
      </c>
      <c r="AS158">
        <f>N158*(N$1-$AF158)^2</f>
        <v>20.496814037839464</v>
      </c>
      <c r="AT158">
        <f>O158*(O$1-$AF158)^2</f>
        <v>0.28163905499460501</v>
      </c>
      <c r="AU158">
        <f>P158*(P$1-$AF158)^2</f>
        <v>20.383883932947722</v>
      </c>
      <c r="AV158">
        <f>Q158*(Q$1-$AF158)^2</f>
        <v>86.096951279286287</v>
      </c>
      <c r="AW158">
        <f>R158*(R$1-$AF158)^2</f>
        <v>137.04381923340841</v>
      </c>
      <c r="AX158">
        <f>S158*(S$1-$AF158)^2</f>
        <v>255.69404960297999</v>
      </c>
      <c r="AY158">
        <f>T158*(T$1-$AF158)^2</f>
        <v>184.12587001274377</v>
      </c>
      <c r="AZ158">
        <f>U158*(U$1-$AF158)^2</f>
        <v>450.73345750416615</v>
      </c>
      <c r="BA158">
        <f>V158*(V$1-$AF158)^2</f>
        <v>559.00401921380239</v>
      </c>
      <c r="BB158">
        <f>W158*(W$1-$AF158)^2</f>
        <v>660.75972943829026</v>
      </c>
      <c r="BC158">
        <f>X158*(X$1-$AF158)^2</f>
        <v>666.66718949122628</v>
      </c>
      <c r="BD158">
        <f>Y158*(Y$1-$AF158)^2</f>
        <v>615.54494657386522</v>
      </c>
      <c r="BE158">
        <f>Z158*(Z$1-$AF158)^2</f>
        <v>247.69650034310359</v>
      </c>
      <c r="BF158">
        <f>AA158*(AA$1-$AF158)^2</f>
        <v>588.42270365650415</v>
      </c>
      <c r="BG158">
        <f>AB158*(AB$1-$AF158)^2</f>
        <v>172.36310165670031</v>
      </c>
      <c r="BH158">
        <f>AC158*(AC$1-$AF158)^2</f>
        <v>0</v>
      </c>
      <c r="BI158">
        <f>AD158*(AD$1-$AF158)^2</f>
        <v>0</v>
      </c>
      <c r="BJ158">
        <f>AE158*(AE$1-$AF158)^2</f>
        <v>0</v>
      </c>
      <c r="BK158">
        <f>SQRT(SUM(AG158:BJ158)/SUM(B158:AE158))</f>
        <v>5.2243338350326853</v>
      </c>
      <c r="BL158">
        <f>_xlfn.FLOOR.MATH((AF158-BK158)/5)</f>
        <v>1</v>
      </c>
    </row>
    <row r="159" spans="1:64">
      <c r="A159" t="s">
        <v>432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2</v>
      </c>
      <c r="H159">
        <v>2</v>
      </c>
      <c r="I159">
        <v>2</v>
      </c>
      <c r="J159">
        <v>13</v>
      </c>
      <c r="K159">
        <v>13</v>
      </c>
      <c r="L159">
        <v>26</v>
      </c>
      <c r="M159">
        <v>29</v>
      </c>
      <c r="N159">
        <v>27</v>
      </c>
      <c r="O159">
        <v>35</v>
      </c>
      <c r="P159">
        <v>25</v>
      </c>
      <c r="Q159">
        <v>27</v>
      </c>
      <c r="R159">
        <v>25</v>
      </c>
      <c r="S159">
        <v>24</v>
      </c>
      <c r="T159">
        <v>18</v>
      </c>
      <c r="U159">
        <v>19</v>
      </c>
      <c r="V159">
        <v>16</v>
      </c>
      <c r="W159">
        <v>23</v>
      </c>
      <c r="X159">
        <v>20</v>
      </c>
      <c r="Y159">
        <v>9</v>
      </c>
      <c r="Z159">
        <v>13</v>
      </c>
      <c r="AA159">
        <v>9</v>
      </c>
      <c r="AB159">
        <v>5</v>
      </c>
      <c r="AC159">
        <v>0</v>
      </c>
      <c r="AD159">
        <v>1</v>
      </c>
      <c r="AE159">
        <v>2</v>
      </c>
      <c r="AF159">
        <f>SUMPRODUCT($B$1:$AE$1,B159:AE159)/SUM(B159:AE159)</f>
        <v>16.755844155844155</v>
      </c>
      <c r="AG159">
        <f>B159*(B$1-$AF159)^2</f>
        <v>0</v>
      </c>
      <c r="AH159">
        <f>C159*(C$1-$AF159)^2</f>
        <v>0</v>
      </c>
      <c r="AI159">
        <f>D159*(D$1-$AF159)^2</f>
        <v>0</v>
      </c>
      <c r="AJ159">
        <f>E159*(E$1-$AF159)^2</f>
        <v>0</v>
      </c>
      <c r="AK159">
        <f>F159*(F$1-$AF159)^2</f>
        <v>0</v>
      </c>
      <c r="AL159">
        <f>G159*(G$1-$AF159)^2</f>
        <v>231.37636700961374</v>
      </c>
      <c r="AM159">
        <f>H159*(H$1-$AF159)^2</f>
        <v>190.35299038623711</v>
      </c>
      <c r="AN159">
        <f>I159*(I$1-$AF159)^2</f>
        <v>153.3296137628605</v>
      </c>
      <c r="AO159">
        <f>J159*(J$1-$AF159)^2</f>
        <v>781.99054140664521</v>
      </c>
      <c r="AP159">
        <f>K159*(K$1-$AF159)^2</f>
        <v>593.33859335469708</v>
      </c>
      <c r="AQ159">
        <f>L159*(L$1-$AF159)^2</f>
        <v>861.37329060549814</v>
      </c>
      <c r="AR159">
        <f>M159*(M$1-$AF159)^2</f>
        <v>655.92355540563312</v>
      </c>
      <c r="AS159">
        <f>N159*(N$1-$AF159)^2</f>
        <v>380.87186372069471</v>
      </c>
      <c r="AT159">
        <f>O159*(O$1-$AF159)^2</f>
        <v>265.81369539551343</v>
      </c>
      <c r="AU159">
        <f>P159*(P$1-$AF159)^2</f>
        <v>77.074717490301836</v>
      </c>
      <c r="AV159">
        <f>Q159*(Q$1-$AF159)^2</f>
        <v>15.425110473941611</v>
      </c>
      <c r="AW159">
        <f>R159*(R$1-$AF159)^2</f>
        <v>1.4903019058863307</v>
      </c>
      <c r="AX159">
        <f>S159*(S$1-$AF159)^2</f>
        <v>37.150170349131436</v>
      </c>
      <c r="AY159">
        <f>T159*(T$1-$AF159)^2</f>
        <v>90.652238151458988</v>
      </c>
      <c r="AZ159">
        <f>U159*(U$1-$AF159)^2</f>
        <v>199.96639568223992</v>
      </c>
      <c r="BA159">
        <f>V159*(V$1-$AF159)^2</f>
        <v>288.2057412717154</v>
      </c>
      <c r="BB159">
        <f>W159*(W$1-$AF159)^2</f>
        <v>632.52692190925973</v>
      </c>
      <c r="BC159">
        <f>X159*(X$1-$AF159)^2</f>
        <v>779.78964412211189</v>
      </c>
      <c r="BD159">
        <f>Y159*(Y$1-$AF159)^2</f>
        <v>472.30014504975554</v>
      </c>
      <c r="BE159">
        <f>Z159*(Z$1-$AF159)^2</f>
        <v>883.55937257547657</v>
      </c>
      <c r="BF159">
        <f>AA159*(AA$1-$AF159)^2</f>
        <v>769.08975543936606</v>
      </c>
      <c r="BG159">
        <f>AB159*(AB$1-$AF159)^2</f>
        <v>524.71364479676174</v>
      </c>
      <c r="BH159">
        <f>AC159*(AC$1-$AF159)^2</f>
        <v>0</v>
      </c>
      <c r="BI159">
        <f>AD159*(AD$1-$AF159)^2</f>
        <v>149.91935233597573</v>
      </c>
      <c r="BJ159">
        <f>AE159*(AE$1-$AF159)^2</f>
        <v>350.81532804857483</v>
      </c>
      <c r="BK159">
        <f>SQRT(SUM(AG159:BJ159)/SUM(B159:AE159))</f>
        <v>4.9378078501824056</v>
      </c>
      <c r="BL159">
        <f>_xlfn.FLOOR.MATH((AF159-BK159)/5)</f>
        <v>2</v>
      </c>
    </row>
    <row r="160" spans="1:64">
      <c r="A160" t="s">
        <v>433</v>
      </c>
      <c r="B160">
        <v>0</v>
      </c>
      <c r="C160">
        <v>0</v>
      </c>
      <c r="D160">
        <v>0</v>
      </c>
      <c r="E160">
        <v>3</v>
      </c>
      <c r="F160">
        <v>6</v>
      </c>
      <c r="G160">
        <v>5</v>
      </c>
      <c r="H160">
        <v>3</v>
      </c>
      <c r="I160">
        <v>11</v>
      </c>
      <c r="J160">
        <v>8</v>
      </c>
      <c r="K160">
        <v>5</v>
      </c>
      <c r="L160">
        <v>12</v>
      </c>
      <c r="M160">
        <v>19</v>
      </c>
      <c r="N160">
        <v>20</v>
      </c>
      <c r="O160">
        <v>16</v>
      </c>
      <c r="P160">
        <v>14</v>
      </c>
      <c r="Q160">
        <v>19</v>
      </c>
      <c r="R160">
        <v>18</v>
      </c>
      <c r="S160">
        <v>16</v>
      </c>
      <c r="T160">
        <v>12</v>
      </c>
      <c r="U160">
        <v>16</v>
      </c>
      <c r="V160">
        <v>17</v>
      </c>
      <c r="W160">
        <v>6</v>
      </c>
      <c r="X160">
        <v>11</v>
      </c>
      <c r="Y160">
        <v>6</v>
      </c>
      <c r="Z160">
        <v>4</v>
      </c>
      <c r="AA160">
        <v>6</v>
      </c>
      <c r="AB160">
        <v>0</v>
      </c>
      <c r="AC160">
        <v>2</v>
      </c>
      <c r="AD160">
        <v>1</v>
      </c>
      <c r="AE160">
        <v>0</v>
      </c>
      <c r="AF160">
        <f>SUMPRODUCT($B$1:$AE$1,B160:AE160)/SUM(B160:AE160)</f>
        <v>15.7421875</v>
      </c>
      <c r="AG160">
        <f>B160*(B$1-$AF160)^2</f>
        <v>0</v>
      </c>
      <c r="AH160">
        <f>C160*(C$1-$AF160)^2</f>
        <v>0</v>
      </c>
      <c r="AI160">
        <f>D160*(D$1-$AF160)^2</f>
        <v>0</v>
      </c>
      <c r="AJ160">
        <f>E160*(E$1-$AF160)^2</f>
        <v>413.63690185546875</v>
      </c>
      <c r="AK160">
        <f>F160*(F$1-$AF160)^2</f>
        <v>692.3675537109375</v>
      </c>
      <c r="AL160">
        <f>G160*(G$1-$AF160)^2</f>
        <v>474.55108642578125</v>
      </c>
      <c r="AM160">
        <f>H160*(H$1-$AF160)^2</f>
        <v>229.27752685546875</v>
      </c>
      <c r="AN160">
        <f>I160*(I$1-$AF160)^2</f>
        <v>659.35614013671875</v>
      </c>
      <c r="AO160">
        <f>J160*(J$1-$AF160)^2</f>
        <v>363.65673828125</v>
      </c>
      <c r="AP160">
        <f>K160*(K$1-$AF160)^2</f>
        <v>164.86358642578125</v>
      </c>
      <c r="AQ160">
        <f>L160*(L$1-$AF160)^2</f>
        <v>269.860107421875</v>
      </c>
      <c r="AR160">
        <f>M160*(M$1-$AF160)^2</f>
        <v>266.07537841796875</v>
      </c>
      <c r="AS160">
        <f>N160*(N$1-$AF160)^2</f>
        <v>150.391845703125</v>
      </c>
      <c r="AT160">
        <f>O160*(O$1-$AF160)^2</f>
        <v>48.5634765625</v>
      </c>
      <c r="AU160">
        <f>P160*(P$1-$AF160)^2</f>
        <v>7.7117919921875</v>
      </c>
      <c r="AV160">
        <f>Q160*(Q$1-$AF160)^2</f>
        <v>1.26287841796875</v>
      </c>
      <c r="AW160">
        <f>R160*(R$1-$AF160)^2</f>
        <v>28.4776611328125</v>
      </c>
      <c r="AX160">
        <f>S160*(S$1-$AF160)^2</f>
        <v>81.5634765625</v>
      </c>
      <c r="AY160">
        <f>T160*(T$1-$AF160)^2</f>
        <v>127.360107421875</v>
      </c>
      <c r="AZ160">
        <f>U160*(U$1-$AF160)^2</f>
        <v>290.0634765625</v>
      </c>
      <c r="BA160">
        <f>V160*(V$1-$AF160)^2</f>
        <v>469.95806884765625</v>
      </c>
      <c r="BB160">
        <f>W160*(W$1-$AF160)^2</f>
        <v>234.9613037109375</v>
      </c>
      <c r="BC160">
        <f>X160*(X$1-$AF160)^2</f>
        <v>579.43426513671875</v>
      </c>
      <c r="BD160">
        <f>Y160*(Y$1-$AF160)^2</f>
        <v>409.1488037109375</v>
      </c>
      <c r="BE160">
        <f>Z160*(Z$1-$AF160)^2</f>
        <v>342.828369140625</v>
      </c>
      <c r="BF160">
        <f>AA160*(AA$1-$AF160)^2</f>
        <v>631.3363037109375</v>
      </c>
      <c r="BG160">
        <f>AB160*(AB$1-$AF160)^2</f>
        <v>0</v>
      </c>
      <c r="BH160">
        <f>AC160*(AC$1-$AF160)^2</f>
        <v>300.5079345703125</v>
      </c>
      <c r="BI160">
        <f>AD160*(AD$1-$AF160)^2</f>
        <v>175.76959228515625</v>
      </c>
      <c r="BJ160">
        <f>AE160*(AE$1-$AF160)^2</f>
        <v>0</v>
      </c>
      <c r="BK160">
        <f>SQRT(SUM(AG160:BJ160)/SUM(B160:AE160))</f>
        <v>5.3811681087700416</v>
      </c>
      <c r="BL160">
        <f>_xlfn.FLOOR.MATH((AF160-BK160)/5)</f>
        <v>2</v>
      </c>
    </row>
    <row r="161" spans="1:64">
      <c r="A161" t="s">
        <v>434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6</v>
      </c>
      <c r="V161">
        <v>11</v>
      </c>
      <c r="W161">
        <v>9</v>
      </c>
      <c r="X161">
        <v>8</v>
      </c>
      <c r="Y161">
        <v>5</v>
      </c>
      <c r="Z161">
        <v>2</v>
      </c>
      <c r="AA161">
        <v>3</v>
      </c>
      <c r="AB161">
        <v>1</v>
      </c>
      <c r="AC161">
        <v>1</v>
      </c>
      <c r="AD161">
        <v>0</v>
      </c>
      <c r="AE161">
        <v>0</v>
      </c>
      <c r="AF161">
        <f>SUMPRODUCT($B$1:$AE$1,B161:AE161)/SUM(B161:AE161)</f>
        <v>22.446808510638299</v>
      </c>
      <c r="AG161">
        <f>B161*(B$1-$AF161)^2</f>
        <v>0</v>
      </c>
      <c r="AH161">
        <f>C161*(C$1-$AF161)^2</f>
        <v>0</v>
      </c>
      <c r="AI161">
        <f>D161*(D$1-$AF161)^2</f>
        <v>0</v>
      </c>
      <c r="AJ161">
        <f>E161*(E$1-$AF161)^2</f>
        <v>0</v>
      </c>
      <c r="AK161">
        <f>F161*(F$1-$AF161)^2</f>
        <v>0</v>
      </c>
      <c r="AL161">
        <f>G161*(G$1-$AF161)^2</f>
        <v>0</v>
      </c>
      <c r="AM161">
        <f>H161*(H$1-$AF161)^2</f>
        <v>0</v>
      </c>
      <c r="AN161">
        <f>I161*(I$1-$AF161)^2</f>
        <v>0</v>
      </c>
      <c r="AO161">
        <f>J161*(J$1-$AF161)^2</f>
        <v>0</v>
      </c>
      <c r="AP161">
        <f>K161*(K$1-$AF161)^2</f>
        <v>0</v>
      </c>
      <c r="AQ161">
        <f>L161*(L$1-$AF161)^2</f>
        <v>0</v>
      </c>
      <c r="AR161">
        <f>M161*(M$1-$AF161)^2</f>
        <v>0</v>
      </c>
      <c r="AS161">
        <f>N161*(N$1-$AF161)^2</f>
        <v>0</v>
      </c>
      <c r="AT161">
        <f>O161*(O$1-$AF161)^2</f>
        <v>0</v>
      </c>
      <c r="AU161">
        <f>P161*(P$1-$AF161)^2</f>
        <v>0</v>
      </c>
      <c r="AV161">
        <f>Q161*(Q$1-$AF161)^2</f>
        <v>0</v>
      </c>
      <c r="AW161">
        <f>R161*(R$1-$AF161)^2</f>
        <v>0</v>
      </c>
      <c r="AX161">
        <f>S161*(S$1-$AF161)^2</f>
        <v>0</v>
      </c>
      <c r="AY161">
        <f>T161*(T$1-$AF161)^2</f>
        <v>11.880488909008607</v>
      </c>
      <c r="AZ161">
        <f>U161*(U$1-$AF161)^2</f>
        <v>35.921231326392061</v>
      </c>
      <c r="BA161">
        <f>V161*(V$1-$AF161)^2</f>
        <v>23.025803531009529</v>
      </c>
      <c r="BB161">
        <f>W161*(W$1-$AF161)^2</f>
        <v>1.7967406066093314</v>
      </c>
      <c r="BC161">
        <f>X161*(X$1-$AF161)^2</f>
        <v>2.4481665912177388</v>
      </c>
      <c r="BD161">
        <f>Y161*(Y$1-$AF161)^2</f>
        <v>12.062019013128101</v>
      </c>
      <c r="BE161">
        <f>Z161*(Z$1-$AF161)^2</f>
        <v>13.037573562698046</v>
      </c>
      <c r="BF161">
        <f>AA161*(AA$1-$AF161)^2</f>
        <v>37.87550928021728</v>
      </c>
      <c r="BG161">
        <f>AB161*(AB$1-$AF161)^2</f>
        <v>20.731552738795827</v>
      </c>
      <c r="BH161">
        <f>AC161*(AC$1-$AF161)^2</f>
        <v>30.83793571751923</v>
      </c>
      <c r="BI161">
        <f>AD161*(AD$1-$AF161)^2</f>
        <v>0</v>
      </c>
      <c r="BJ161">
        <f>AE161*(AE$1-$AF161)^2</f>
        <v>0</v>
      </c>
      <c r="BK161">
        <f>SQRT(SUM(AG161:BJ161)/SUM(B161:AE161))</f>
        <v>2.0085827610563314</v>
      </c>
      <c r="BL161">
        <f>_xlfn.FLOOR.MATH((AF161-BK161)/5)</f>
        <v>4</v>
      </c>
    </row>
    <row r="162" spans="1:64">
      <c r="A162" t="s">
        <v>435</v>
      </c>
      <c r="B162">
        <v>0</v>
      </c>
      <c r="C162">
        <v>2</v>
      </c>
      <c r="D162">
        <v>12</v>
      </c>
      <c r="E162">
        <v>16</v>
      </c>
      <c r="F162">
        <v>11</v>
      </c>
      <c r="G162">
        <v>3</v>
      </c>
      <c r="H162">
        <v>4</v>
      </c>
      <c r="I162">
        <v>8</v>
      </c>
      <c r="J162">
        <v>2</v>
      </c>
      <c r="K162">
        <v>0</v>
      </c>
      <c r="L162">
        <v>4</v>
      </c>
      <c r="M162">
        <v>3</v>
      </c>
      <c r="N162">
        <v>2</v>
      </c>
      <c r="O162">
        <v>2</v>
      </c>
      <c r="P162">
        <v>3</v>
      </c>
      <c r="Q162">
        <v>3</v>
      </c>
      <c r="R162">
        <v>0</v>
      </c>
      <c r="S162">
        <v>0</v>
      </c>
      <c r="T162">
        <v>1</v>
      </c>
      <c r="U162">
        <v>1</v>
      </c>
      <c r="V162">
        <v>1</v>
      </c>
      <c r="W162">
        <v>0</v>
      </c>
      <c r="X162">
        <v>1</v>
      </c>
      <c r="Y162">
        <v>0</v>
      </c>
      <c r="Z162">
        <v>0</v>
      </c>
      <c r="AA162">
        <v>0</v>
      </c>
      <c r="AB162">
        <v>1</v>
      </c>
      <c r="AC162">
        <v>0</v>
      </c>
      <c r="AD162">
        <v>0</v>
      </c>
      <c r="AE162">
        <v>0</v>
      </c>
      <c r="AF162">
        <f>SUMPRODUCT($B$1:$AE$1,B162:AE162)/SUM(B162:AE162)</f>
        <v>7.8</v>
      </c>
      <c r="AG162">
        <f>B162*(B$1-$AF162)^2</f>
        <v>0</v>
      </c>
      <c r="AH162">
        <f>C162*(C$1-$AF162)^2</f>
        <v>67.28</v>
      </c>
      <c r="AI162">
        <f>D162*(D$1-$AF162)^2</f>
        <v>276.48</v>
      </c>
      <c r="AJ162">
        <f>E162*(E$1-$AF162)^2</f>
        <v>231.04</v>
      </c>
      <c r="AK162">
        <f>F162*(F$1-$AF162)^2</f>
        <v>86.24</v>
      </c>
      <c r="AL162">
        <f>G162*(G$1-$AF162)^2</f>
        <v>9.7199999999999989</v>
      </c>
      <c r="AM162">
        <f>H162*(H$1-$AF162)^2</f>
        <v>2.5599999999999987</v>
      </c>
      <c r="AN162">
        <f>I162*(I$1-$AF162)^2</f>
        <v>0.32000000000000056</v>
      </c>
      <c r="AO162">
        <f>J162*(J$1-$AF162)^2</f>
        <v>2.8800000000000008</v>
      </c>
      <c r="AP162">
        <f>K162*(K$1-$AF162)^2</f>
        <v>0</v>
      </c>
      <c r="AQ162">
        <f>L162*(L$1-$AF162)^2</f>
        <v>40.960000000000008</v>
      </c>
      <c r="AR162">
        <f>M162*(M$1-$AF162)^2</f>
        <v>52.92</v>
      </c>
      <c r="AS162">
        <f>N162*(N$1-$AF162)^2</f>
        <v>54.080000000000005</v>
      </c>
      <c r="AT162">
        <f>O162*(O$1-$AF162)^2</f>
        <v>76.88000000000001</v>
      </c>
      <c r="AU162">
        <f>P162*(P$1-$AF162)^2</f>
        <v>155.52000000000001</v>
      </c>
      <c r="AV162">
        <f>Q162*(Q$1-$AF162)^2</f>
        <v>201.71999999999997</v>
      </c>
      <c r="AW162">
        <f>R162*(R$1-$AF162)^2</f>
        <v>0</v>
      </c>
      <c r="AX162">
        <f>S162*(S$1-$AF162)^2</f>
        <v>0</v>
      </c>
      <c r="AY162">
        <f>T162*(T$1-$AF162)^2</f>
        <v>125.43999999999998</v>
      </c>
      <c r="AZ162">
        <f>U162*(U$1-$AF162)^2</f>
        <v>148.83999999999997</v>
      </c>
      <c r="BA162">
        <f>V162*(V$1-$AF162)^2</f>
        <v>174.23999999999998</v>
      </c>
      <c r="BB162">
        <f>W162*(W$1-$AF162)^2</f>
        <v>0</v>
      </c>
      <c r="BC162">
        <f>X162*(X$1-$AF162)^2</f>
        <v>231.04</v>
      </c>
      <c r="BD162">
        <f>Y162*(Y$1-$AF162)^2</f>
        <v>0</v>
      </c>
      <c r="BE162">
        <f>Z162*(Z$1-$AF162)^2</f>
        <v>0</v>
      </c>
      <c r="BF162">
        <f>AA162*(AA$1-$AF162)^2</f>
        <v>0</v>
      </c>
      <c r="BG162">
        <f>AB162*(AB$1-$AF162)^2</f>
        <v>368.64</v>
      </c>
      <c r="BH162">
        <f>AC162*(AC$1-$AF162)^2</f>
        <v>0</v>
      </c>
      <c r="BI162">
        <f>AD162*(AD$1-$AF162)^2</f>
        <v>0</v>
      </c>
      <c r="BJ162">
        <f>AE162*(AE$1-$AF162)^2</f>
        <v>0</v>
      </c>
      <c r="BK162">
        <f>SQRT(SUM(AG162:BJ162)/SUM(B162:AE162))</f>
        <v>5.3698230883335443</v>
      </c>
      <c r="BL162">
        <f>_xlfn.FLOOR.MATH((AF162-BK162)/5)</f>
        <v>0</v>
      </c>
    </row>
    <row r="163" spans="1:64">
      <c r="A163" t="s">
        <v>436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7</v>
      </c>
      <c r="H163">
        <v>13</v>
      </c>
      <c r="I163">
        <v>4</v>
      </c>
      <c r="J163">
        <v>5</v>
      </c>
      <c r="K163">
        <v>9</v>
      </c>
      <c r="L163">
        <v>1</v>
      </c>
      <c r="M163">
        <v>5</v>
      </c>
      <c r="N163">
        <v>4</v>
      </c>
      <c r="O163">
        <v>3</v>
      </c>
      <c r="P163">
        <v>1</v>
      </c>
      <c r="Q163">
        <v>2</v>
      </c>
      <c r="R163">
        <v>1</v>
      </c>
      <c r="S163">
        <v>0</v>
      </c>
      <c r="T163">
        <v>1</v>
      </c>
      <c r="U163">
        <v>0</v>
      </c>
      <c r="V163">
        <v>1</v>
      </c>
      <c r="W163">
        <v>1</v>
      </c>
      <c r="X163">
        <v>1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f>SUMPRODUCT($B$1:$AE$1,B163:AE163)/SUM(B163:AE163)</f>
        <v>10.65</v>
      </c>
      <c r="AG163">
        <f>B163*(B$1-$AF163)^2</f>
        <v>0</v>
      </c>
      <c r="AH163">
        <f>C163*(C$1-$AF163)^2</f>
        <v>0</v>
      </c>
      <c r="AI163">
        <f>D163*(D$1-$AF163)^2</f>
        <v>0</v>
      </c>
      <c r="AJ163">
        <f>E163*(E$1-$AF163)^2</f>
        <v>0</v>
      </c>
      <c r="AK163">
        <f>F163*(F$1-$AF163)^2</f>
        <v>0</v>
      </c>
      <c r="AL163">
        <f>G163*(G$1-$AF163)^2</f>
        <v>151.35750000000002</v>
      </c>
      <c r="AM163">
        <f>H163*(H$1-$AF163)^2</f>
        <v>173.19250000000005</v>
      </c>
      <c r="AN163">
        <f>I163*(I$1-$AF163)^2</f>
        <v>28.090000000000007</v>
      </c>
      <c r="AO163">
        <f>J163*(J$1-$AF163)^2</f>
        <v>13.612500000000004</v>
      </c>
      <c r="AP163">
        <f>K163*(K$1-$AF163)^2</f>
        <v>3.8025000000000042</v>
      </c>
      <c r="AQ163">
        <f>L163*(L$1-$AF163)^2</f>
        <v>0.12249999999999975</v>
      </c>
      <c r="AR163">
        <f>M163*(M$1-$AF163)^2</f>
        <v>9.1124999999999954</v>
      </c>
      <c r="AS163">
        <f>N163*(N$1-$AF163)^2</f>
        <v>22.089999999999993</v>
      </c>
      <c r="AT163">
        <f>O163*(O$1-$AF163)^2</f>
        <v>33.667499999999997</v>
      </c>
      <c r="AU163">
        <f>P163*(P$1-$AF163)^2</f>
        <v>18.922499999999996</v>
      </c>
      <c r="AV163">
        <f>Q163*(Q$1-$AF163)^2</f>
        <v>57.24499999999999</v>
      </c>
      <c r="AW163">
        <f>R163*(R$1-$AF163)^2</f>
        <v>40.322499999999998</v>
      </c>
      <c r="AX163">
        <f>S163*(S$1-$AF163)^2</f>
        <v>0</v>
      </c>
      <c r="AY163">
        <f>T163*(T$1-$AF163)^2</f>
        <v>69.722499999999997</v>
      </c>
      <c r="AZ163">
        <f>U163*(U$1-$AF163)^2</f>
        <v>0</v>
      </c>
      <c r="BA163">
        <f>V163*(V$1-$AF163)^2</f>
        <v>107.12249999999999</v>
      </c>
      <c r="BB163">
        <f>W163*(W$1-$AF163)^2</f>
        <v>128.82249999999999</v>
      </c>
      <c r="BC163">
        <f>X163*(X$1-$AF163)^2</f>
        <v>152.52249999999998</v>
      </c>
      <c r="BD163">
        <f>Y163*(Y$1-$AF163)^2</f>
        <v>0</v>
      </c>
      <c r="BE163">
        <f>Z163*(Z$1-$AF163)^2</f>
        <v>205.92249999999999</v>
      </c>
      <c r="BF163">
        <f>AA163*(AA$1-$AF163)^2</f>
        <v>0</v>
      </c>
      <c r="BG163">
        <f>AB163*(AB$1-$AF163)^2</f>
        <v>0</v>
      </c>
      <c r="BH163">
        <f>AC163*(AC$1-$AF163)^2</f>
        <v>0</v>
      </c>
      <c r="BI163">
        <f>AD163*(AD$1-$AF163)^2</f>
        <v>0</v>
      </c>
      <c r="BJ163">
        <f>AE163*(AE$1-$AF163)^2</f>
        <v>0</v>
      </c>
      <c r="BK163">
        <f>SQRT(SUM(AG163:BJ163)/SUM(B163:AE163))</f>
        <v>4.5012035427575734</v>
      </c>
      <c r="BL163">
        <f>_xlfn.FLOOR.MATH((AF163-BK163)/5)</f>
        <v>1</v>
      </c>
    </row>
    <row r="164" spans="1:64">
      <c r="A164" t="s">
        <v>437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4</v>
      </c>
      <c r="T164">
        <v>9</v>
      </c>
      <c r="U164">
        <v>1</v>
      </c>
      <c r="V164">
        <v>1</v>
      </c>
      <c r="W164">
        <v>1</v>
      </c>
      <c r="X164">
        <v>0</v>
      </c>
      <c r="Y164">
        <v>0</v>
      </c>
      <c r="Z164">
        <v>1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f>SUMPRODUCT($B$1:$AE$1,B164:AE164)/SUM(B164:AE164)</f>
        <v>19.333333333333332</v>
      </c>
      <c r="AG164">
        <f>B164*(B$1-$AF164)^2</f>
        <v>0</v>
      </c>
      <c r="AH164">
        <f>C164*(C$1-$AF164)^2</f>
        <v>0</v>
      </c>
      <c r="AI164">
        <f>D164*(D$1-$AF164)^2</f>
        <v>0</v>
      </c>
      <c r="AJ164">
        <f>E164*(E$1-$AF164)^2</f>
        <v>0</v>
      </c>
      <c r="AK164">
        <f>F164*(F$1-$AF164)^2</f>
        <v>0</v>
      </c>
      <c r="AL164">
        <f>G164*(G$1-$AF164)^2</f>
        <v>0</v>
      </c>
      <c r="AM164">
        <f>H164*(H$1-$AF164)^2</f>
        <v>0</v>
      </c>
      <c r="AN164">
        <f>I164*(I$1-$AF164)^2</f>
        <v>0</v>
      </c>
      <c r="AO164">
        <f>J164*(J$1-$AF164)^2</f>
        <v>0</v>
      </c>
      <c r="AP164">
        <f>K164*(K$1-$AF164)^2</f>
        <v>0</v>
      </c>
      <c r="AQ164">
        <f>L164*(L$1-$AF164)^2</f>
        <v>0</v>
      </c>
      <c r="AR164">
        <f>M164*(M$1-$AF164)^2</f>
        <v>0</v>
      </c>
      <c r="AS164">
        <f>N164*(N$1-$AF164)^2</f>
        <v>0</v>
      </c>
      <c r="AT164">
        <f>O164*(O$1-$AF164)^2</f>
        <v>0</v>
      </c>
      <c r="AU164">
        <f>P164*(P$1-$AF164)^2</f>
        <v>0</v>
      </c>
      <c r="AV164">
        <f>Q164*(Q$1-$AF164)^2</f>
        <v>0</v>
      </c>
      <c r="AW164">
        <f>R164*(R$1-$AF164)^2</f>
        <v>5.4444444444444393</v>
      </c>
      <c r="AX164">
        <f>S164*(S$1-$AF164)^2</f>
        <v>7.1111111111110983</v>
      </c>
      <c r="AY164">
        <f>T164*(T$1-$AF164)^2</f>
        <v>0.99999999999999289</v>
      </c>
      <c r="AZ164">
        <f>U164*(U$1-$AF164)^2</f>
        <v>0.44444444444444603</v>
      </c>
      <c r="BA164">
        <f>V164*(V$1-$AF164)^2</f>
        <v>2.7777777777777817</v>
      </c>
      <c r="BB164">
        <f>W164*(W$1-$AF164)^2</f>
        <v>7.1111111111111178</v>
      </c>
      <c r="BC164">
        <f>X164*(X$1-$AF164)^2</f>
        <v>0</v>
      </c>
      <c r="BD164">
        <f>Y164*(Y$1-$AF164)^2</f>
        <v>0</v>
      </c>
      <c r="BE164">
        <f>Z164*(Z$1-$AF164)^2</f>
        <v>32.111111111111121</v>
      </c>
      <c r="BF164">
        <f>AA164*(AA$1-$AF164)^2</f>
        <v>0</v>
      </c>
      <c r="BG164">
        <f>AB164*(AB$1-$AF164)^2</f>
        <v>0</v>
      </c>
      <c r="BH164">
        <f>AC164*(AC$1-$AF164)^2</f>
        <v>0</v>
      </c>
      <c r="BI164">
        <f>AD164*(AD$1-$AF164)^2</f>
        <v>0</v>
      </c>
      <c r="BJ164">
        <f>AE164*(AE$1-$AF164)^2</f>
        <v>0</v>
      </c>
      <c r="BK164">
        <f>SQRT(SUM(AG164:BJ164)/SUM(B164:AE164))</f>
        <v>1.7638342073763937</v>
      </c>
      <c r="BL164">
        <f>_xlfn.FLOOR.MATH((AF164-BK164)/5)</f>
        <v>3</v>
      </c>
    </row>
    <row r="165" spans="1:64">
      <c r="A165" t="s">
        <v>438</v>
      </c>
      <c r="B165">
        <v>0</v>
      </c>
      <c r="C165">
        <v>0</v>
      </c>
      <c r="D165">
        <v>0</v>
      </c>
      <c r="E165">
        <v>0</v>
      </c>
      <c r="F165">
        <v>4</v>
      </c>
      <c r="G165">
        <v>2</v>
      </c>
      <c r="H165">
        <v>0</v>
      </c>
      <c r="I165">
        <v>2</v>
      </c>
      <c r="J165">
        <v>0</v>
      </c>
      <c r="K165">
        <v>0</v>
      </c>
      <c r="L165">
        <v>0</v>
      </c>
      <c r="M165">
        <v>4</v>
      </c>
      <c r="N165">
        <v>5</v>
      </c>
      <c r="O165">
        <v>3</v>
      </c>
      <c r="P165">
        <v>6</v>
      </c>
      <c r="Q165">
        <v>10</v>
      </c>
      <c r="R165">
        <v>11</v>
      </c>
      <c r="S165">
        <v>6</v>
      </c>
      <c r="T165">
        <v>16</v>
      </c>
      <c r="U165">
        <v>12</v>
      </c>
      <c r="V165">
        <v>13</v>
      </c>
      <c r="W165">
        <v>5</v>
      </c>
      <c r="X165">
        <v>7</v>
      </c>
      <c r="Y165">
        <v>5</v>
      </c>
      <c r="Z165">
        <v>6</v>
      </c>
      <c r="AA165">
        <v>10</v>
      </c>
      <c r="AB165">
        <v>1</v>
      </c>
      <c r="AC165">
        <v>4</v>
      </c>
      <c r="AD165">
        <v>0</v>
      </c>
      <c r="AE165">
        <v>0</v>
      </c>
      <c r="AF165">
        <f>SUMPRODUCT($B$1:$AE$1,B165:AE165)/SUM(B165:AE165)</f>
        <v>18.977272727272727</v>
      </c>
      <c r="AG165">
        <f>B165*(B$1-$AF165)^2</f>
        <v>0</v>
      </c>
      <c r="AH165">
        <f>C165*(C$1-$AF165)^2</f>
        <v>0</v>
      </c>
      <c r="AI165">
        <f>D165*(D$1-$AF165)^2</f>
        <v>0</v>
      </c>
      <c r="AJ165">
        <f>E165*(E$1-$AF165)^2</f>
        <v>0</v>
      </c>
      <c r="AK165">
        <f>F165*(F$1-$AF165)^2</f>
        <v>781.4566115702479</v>
      </c>
      <c r="AL165">
        <f>G165*(G$1-$AF165)^2</f>
        <v>336.81921487603302</v>
      </c>
      <c r="AM165">
        <f>H165*(H$1-$AF165)^2</f>
        <v>0</v>
      </c>
      <c r="AN165">
        <f>I165*(I$1-$AF165)^2</f>
        <v>241.0010330578512</v>
      </c>
      <c r="AO165">
        <f>J165*(J$1-$AF165)^2</f>
        <v>0</v>
      </c>
      <c r="AP165">
        <f>K165*(K$1-$AF165)^2</f>
        <v>0</v>
      </c>
      <c r="AQ165">
        <f>L165*(L$1-$AF165)^2</f>
        <v>0</v>
      </c>
      <c r="AR165">
        <f>M165*(M$1-$AF165)^2</f>
        <v>194.72933884297518</v>
      </c>
      <c r="AS165">
        <f>N165*(N$1-$AF165)^2</f>
        <v>178.63894628099172</v>
      </c>
      <c r="AT165">
        <f>O165*(O$1-$AF165)^2</f>
        <v>74.319731404958659</v>
      </c>
      <c r="AU165">
        <f>P165*(P$1-$AF165)^2</f>
        <v>94.912190082644599</v>
      </c>
      <c r="AV165">
        <f>Q165*(Q$1-$AF165)^2</f>
        <v>88.641528925619781</v>
      </c>
      <c r="AW165">
        <f>R165*(R$1-$AF165)^2</f>
        <v>43.005681818181792</v>
      </c>
      <c r="AX165">
        <f>S165*(S$1-$AF165)^2</f>
        <v>5.7303719008264382</v>
      </c>
      <c r="AY165">
        <f>T165*(T$1-$AF165)^2</f>
        <v>8.2644628099178257E-3</v>
      </c>
      <c r="AZ165">
        <f>U165*(U$1-$AF165)^2</f>
        <v>12.551652892562</v>
      </c>
      <c r="BA165">
        <f>V165*(V$1-$AF165)^2</f>
        <v>53.188533057851274</v>
      </c>
      <c r="BB165">
        <f>W165*(W$1-$AF165)^2</f>
        <v>45.684400826446293</v>
      </c>
      <c r="BC165">
        <f>X165*(X$1-$AF165)^2</f>
        <v>113.27634297520665</v>
      </c>
      <c r="BD165">
        <f>Y165*(Y$1-$AF165)^2</f>
        <v>126.13894628099176</v>
      </c>
      <c r="BE165">
        <f>Z165*(Z$1-$AF165)^2</f>
        <v>217.6394628099174</v>
      </c>
      <c r="BF165">
        <f>AA165*(AA$1-$AF165)^2</f>
        <v>493.18698347107448</v>
      </c>
      <c r="BG165">
        <f>AB165*(AB$1-$AF165)^2</f>
        <v>64.364152892561989</v>
      </c>
      <c r="BH165">
        <f>AC165*(AC$1-$AF165)^2</f>
        <v>325.63842975206614</v>
      </c>
      <c r="BI165">
        <f>AD165*(AD$1-$AF165)^2</f>
        <v>0</v>
      </c>
      <c r="BJ165">
        <f>AE165*(AE$1-$AF165)^2</f>
        <v>0</v>
      </c>
      <c r="BK165">
        <f>SQRT(SUM(AG165:BJ165)/SUM(B165:AE165))</f>
        <v>5.1426115124559111</v>
      </c>
      <c r="BL165">
        <f>_xlfn.FLOOR.MATH((AF165-BK165)/5)</f>
        <v>2</v>
      </c>
    </row>
    <row r="166" spans="1:64">
      <c r="A166" t="s">
        <v>439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0</v>
      </c>
      <c r="AE166">
        <v>0</v>
      </c>
      <c r="AF166">
        <f>SUMPRODUCT($B$1:$AE$1,B166:AE166)/SUM(B166:AE166)</f>
        <v>27</v>
      </c>
      <c r="AG166">
        <f>B166*(B$1-$AF166)^2</f>
        <v>0</v>
      </c>
      <c r="AH166">
        <f>C166*(C$1-$AF166)^2</f>
        <v>0</v>
      </c>
      <c r="AI166">
        <f>D166*(D$1-$AF166)^2</f>
        <v>0</v>
      </c>
      <c r="AJ166">
        <f>E166*(E$1-$AF166)^2</f>
        <v>0</v>
      </c>
      <c r="AK166">
        <f>F166*(F$1-$AF166)^2</f>
        <v>0</v>
      </c>
      <c r="AL166">
        <f>G166*(G$1-$AF166)^2</f>
        <v>0</v>
      </c>
      <c r="AM166">
        <f>H166*(H$1-$AF166)^2</f>
        <v>0</v>
      </c>
      <c r="AN166">
        <f>I166*(I$1-$AF166)^2</f>
        <v>0</v>
      </c>
      <c r="AO166">
        <f>J166*(J$1-$AF166)^2</f>
        <v>0</v>
      </c>
      <c r="AP166">
        <f>K166*(K$1-$AF166)^2</f>
        <v>0</v>
      </c>
      <c r="AQ166">
        <f>L166*(L$1-$AF166)^2</f>
        <v>0</v>
      </c>
      <c r="AR166">
        <f>M166*(M$1-$AF166)^2</f>
        <v>0</v>
      </c>
      <c r="AS166">
        <f>N166*(N$1-$AF166)^2</f>
        <v>0</v>
      </c>
      <c r="AT166">
        <f>O166*(O$1-$AF166)^2</f>
        <v>0</v>
      </c>
      <c r="AU166">
        <f>P166*(P$1-$AF166)^2</f>
        <v>0</v>
      </c>
      <c r="AV166">
        <f>Q166*(Q$1-$AF166)^2</f>
        <v>0</v>
      </c>
      <c r="AW166">
        <f>R166*(R$1-$AF166)^2</f>
        <v>0</v>
      </c>
      <c r="AX166">
        <f>S166*(S$1-$AF166)^2</f>
        <v>0</v>
      </c>
      <c r="AY166">
        <f>T166*(T$1-$AF166)^2</f>
        <v>0</v>
      </c>
      <c r="AZ166">
        <f>U166*(U$1-$AF166)^2</f>
        <v>0</v>
      </c>
      <c r="BA166">
        <f>V166*(V$1-$AF166)^2</f>
        <v>0</v>
      </c>
      <c r="BB166">
        <f>W166*(W$1-$AF166)^2</f>
        <v>0</v>
      </c>
      <c r="BC166">
        <f>X166*(X$1-$AF166)^2</f>
        <v>0</v>
      </c>
      <c r="BD166">
        <f>Y166*(Y$1-$AF166)^2</f>
        <v>0</v>
      </c>
      <c r="BE166">
        <f>Z166*(Z$1-$AF166)^2</f>
        <v>0</v>
      </c>
      <c r="BF166">
        <f>AA166*(AA$1-$AF166)^2</f>
        <v>0</v>
      </c>
      <c r="BG166">
        <f>AB166*(AB$1-$AF166)^2</f>
        <v>0</v>
      </c>
      <c r="BH166">
        <f>AC166*(AC$1-$AF166)^2</f>
        <v>0</v>
      </c>
      <c r="BI166">
        <f>AD166*(AD$1-$AF166)^2</f>
        <v>0</v>
      </c>
      <c r="BJ166">
        <f>AE166*(AE$1-$AF166)^2</f>
        <v>0</v>
      </c>
      <c r="BK166">
        <f>SQRT(SUM(AG166:BJ166)/SUM(B166:AE166))</f>
        <v>0</v>
      </c>
      <c r="BL166">
        <f>_xlfn.FLOOR.MATH((AF166-BK166)/5)</f>
        <v>5</v>
      </c>
    </row>
    <row r="167" spans="1:64">
      <c r="A167" t="s">
        <v>440</v>
      </c>
      <c r="B167">
        <v>0</v>
      </c>
      <c r="C167">
        <v>0</v>
      </c>
      <c r="D167">
        <v>0</v>
      </c>
      <c r="E167">
        <v>1</v>
      </c>
      <c r="F167">
        <v>1</v>
      </c>
      <c r="G167">
        <v>4</v>
      </c>
      <c r="H167">
        <v>3</v>
      </c>
      <c r="I167">
        <v>12</v>
      </c>
      <c r="J167">
        <v>19</v>
      </c>
      <c r="K167">
        <v>12</v>
      </c>
      <c r="L167">
        <v>20</v>
      </c>
      <c r="M167">
        <v>21</v>
      </c>
      <c r="N167">
        <v>23</v>
      </c>
      <c r="O167">
        <v>11</v>
      </c>
      <c r="P167">
        <v>13</v>
      </c>
      <c r="Q167">
        <v>17</v>
      </c>
      <c r="R167">
        <v>10</v>
      </c>
      <c r="S167">
        <v>9</v>
      </c>
      <c r="T167">
        <v>7</v>
      </c>
      <c r="U167">
        <v>7</v>
      </c>
      <c r="V167">
        <v>5</v>
      </c>
      <c r="W167">
        <v>6</v>
      </c>
      <c r="X167">
        <v>3</v>
      </c>
      <c r="Y167">
        <v>1</v>
      </c>
      <c r="Z167">
        <v>2</v>
      </c>
      <c r="AA167">
        <v>1</v>
      </c>
      <c r="AB167">
        <v>1</v>
      </c>
      <c r="AC167">
        <v>2</v>
      </c>
      <c r="AD167">
        <v>0</v>
      </c>
      <c r="AE167">
        <v>1</v>
      </c>
      <c r="AF167">
        <f>SUMPRODUCT($B$1:$AE$1,B167:AE167)/SUM(B167:AE167)</f>
        <v>13.94811320754717</v>
      </c>
      <c r="AG167">
        <f>B167*(B$1-$AF167)^2</f>
        <v>0</v>
      </c>
      <c r="AH167">
        <f>C167*(C$1-$AF167)^2</f>
        <v>0</v>
      </c>
      <c r="AI167">
        <f>D167*(D$1-$AF167)^2</f>
        <v>0</v>
      </c>
      <c r="AJ167">
        <f>E167*(E$1-$AF167)^2</f>
        <v>98.964956390174436</v>
      </c>
      <c r="AK167">
        <f>F167*(F$1-$AF167)^2</f>
        <v>80.068729975080103</v>
      </c>
      <c r="AL167">
        <f>G167*(G$1-$AF167)^2</f>
        <v>252.69001423994305</v>
      </c>
      <c r="AM167">
        <f>H167*(H$1-$AF167)^2</f>
        <v>144.82883143467427</v>
      </c>
      <c r="AN167">
        <f>I167*(I$1-$AF167)^2</f>
        <v>424.56060875756498</v>
      </c>
      <c r="AO167">
        <f>J167*(J$1-$AF167)^2</f>
        <v>465.19266197935207</v>
      </c>
      <c r="AP167">
        <f>K167*(K$1-$AF167)^2</f>
        <v>187.05117479530082</v>
      </c>
      <c r="AQ167">
        <f>L167*(L$1-$AF167)^2</f>
        <v>173.82742969028126</v>
      </c>
      <c r="AR167">
        <f>M167*(M$1-$AF167)^2</f>
        <v>79.698046457814172</v>
      </c>
      <c r="AS167">
        <f>N167*(N$1-$AF167)^2</f>
        <v>20.675129049483807</v>
      </c>
      <c r="AT167">
        <f>O167*(O$1-$AF167)^2</f>
        <v>2.9614631541473757E-2</v>
      </c>
      <c r="AU167">
        <f>P167*(P$1-$AF167)^2</f>
        <v>14.384055713777144</v>
      </c>
      <c r="AV167">
        <f>Q167*(Q$1-$AF167)^2</f>
        <v>71.574069953720169</v>
      </c>
      <c r="AW167">
        <f>R167*(R$1-$AF167)^2</f>
        <v>93.140129939480246</v>
      </c>
      <c r="AX167">
        <f>S167*(S$1-$AF167)^2</f>
        <v>147.76007920968314</v>
      </c>
      <c r="AY167">
        <f>T167*(T$1-$AF167)^2</f>
        <v>178.6509211463154</v>
      </c>
      <c r="AZ167">
        <f>U167*(U$1-$AF167)^2</f>
        <v>256.37733624065504</v>
      </c>
      <c r="BA167">
        <f>V167*(V$1-$AF167)^2</f>
        <v>248.64553666785332</v>
      </c>
      <c r="BB167">
        <f>W167*(W$1-$AF167)^2</f>
        <v>388.99728551085792</v>
      </c>
      <c r="BC167">
        <f>X167*(X$1-$AF167)^2</f>
        <v>245.80996351014596</v>
      </c>
      <c r="BD167">
        <f>Y167*(Y$1-$AF167)^2</f>
        <v>101.04042808828764</v>
      </c>
      <c r="BE167">
        <f>Z167*(Z$1-$AF167)^2</f>
        <v>244.28840334638662</v>
      </c>
      <c r="BF167">
        <f>AA167*(AA$1-$AF167)^2</f>
        <v>145.24797525809896</v>
      </c>
      <c r="BG167">
        <f>AB167*(AB$1-$AF167)^2</f>
        <v>170.35174884300463</v>
      </c>
      <c r="BH167">
        <f>AC167*(AC$1-$AF167)^2</f>
        <v>394.91104485582059</v>
      </c>
      <c r="BI167">
        <f>AD167*(AD$1-$AF167)^2</f>
        <v>0</v>
      </c>
      <c r="BJ167">
        <f>AE167*(AE$1-$AF167)^2</f>
        <v>257.66306959772163</v>
      </c>
      <c r="BK167">
        <f>SQRT(SUM(AG167:BJ167)/SUM(B167:AE167))</f>
        <v>4.8009576704259525</v>
      </c>
      <c r="BL167">
        <f>_xlfn.FLOOR.MATH((AF167-BK167)/5)</f>
        <v>1</v>
      </c>
    </row>
    <row r="168" spans="1:64">
      <c r="A168" t="s">
        <v>441</v>
      </c>
      <c r="B168">
        <v>0</v>
      </c>
      <c r="C168">
        <v>0</v>
      </c>
      <c r="D168">
        <v>0</v>
      </c>
      <c r="E168">
        <v>0</v>
      </c>
      <c r="F168">
        <v>1</v>
      </c>
      <c r="G168">
        <v>2</v>
      </c>
      <c r="H168">
        <v>2</v>
      </c>
      <c r="I168">
        <v>4</v>
      </c>
      <c r="J168">
        <v>1</v>
      </c>
      <c r="K168">
        <v>1</v>
      </c>
      <c r="L168">
        <v>4</v>
      </c>
      <c r="M168">
        <v>4</v>
      </c>
      <c r="N168">
        <v>2</v>
      </c>
      <c r="O168">
        <v>2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f>SUMPRODUCT($B$1:$AE$1,B168:AE168)/SUM(B168:AE168)</f>
        <v>10.76</v>
      </c>
      <c r="AG168">
        <f>B168*(B$1-$AF168)^2</f>
        <v>0</v>
      </c>
      <c r="AH168">
        <f>C168*(C$1-$AF168)^2</f>
        <v>0</v>
      </c>
      <c r="AI168">
        <f>D168*(D$1-$AF168)^2</f>
        <v>0</v>
      </c>
      <c r="AJ168">
        <f>E168*(E$1-$AF168)^2</f>
        <v>0</v>
      </c>
      <c r="AK168">
        <f>F168*(F$1-$AF168)^2</f>
        <v>33.177599999999998</v>
      </c>
      <c r="AL168">
        <f>G168*(G$1-$AF168)^2</f>
        <v>45.315199999999997</v>
      </c>
      <c r="AM168">
        <f>H168*(H$1-$AF168)^2</f>
        <v>28.275199999999998</v>
      </c>
      <c r="AN168">
        <f>I168*(I$1-$AF168)^2</f>
        <v>30.470399999999994</v>
      </c>
      <c r="AO168">
        <f>J168*(J$1-$AF168)^2</f>
        <v>3.0975999999999995</v>
      </c>
      <c r="AP168">
        <f>K168*(K$1-$AF168)^2</f>
        <v>0.57759999999999967</v>
      </c>
      <c r="AQ168">
        <f>L168*(L$1-$AF168)^2</f>
        <v>0.23040000000000041</v>
      </c>
      <c r="AR168">
        <f>M168*(M$1-$AF168)^2</f>
        <v>6.1504000000000021</v>
      </c>
      <c r="AS168">
        <f>N168*(N$1-$AF168)^2</f>
        <v>10.035200000000001</v>
      </c>
      <c r="AT168">
        <f>O168*(O$1-$AF168)^2</f>
        <v>20.995200000000004</v>
      </c>
      <c r="AU168">
        <f>P168*(P$1-$AF168)^2</f>
        <v>0</v>
      </c>
      <c r="AV168">
        <f>Q168*(Q$1-$AF168)^2</f>
        <v>0</v>
      </c>
      <c r="AW168">
        <f>R168*(R$1-$AF168)^2</f>
        <v>38.937600000000003</v>
      </c>
      <c r="AX168">
        <f>S168*(S$1-$AF168)^2</f>
        <v>0</v>
      </c>
      <c r="AY168">
        <f>T168*(T$1-$AF168)^2</f>
        <v>0</v>
      </c>
      <c r="AZ168">
        <f>U168*(U$1-$AF168)^2</f>
        <v>0</v>
      </c>
      <c r="BA168">
        <f>V168*(V$1-$AF168)^2</f>
        <v>0</v>
      </c>
      <c r="BB168">
        <f>W168*(W$1-$AF168)^2</f>
        <v>0</v>
      </c>
      <c r="BC168">
        <f>X168*(X$1-$AF168)^2</f>
        <v>0</v>
      </c>
      <c r="BD168">
        <f>Y168*(Y$1-$AF168)^2</f>
        <v>175.29760000000002</v>
      </c>
      <c r="BE168">
        <f>Z168*(Z$1-$AF168)^2</f>
        <v>0</v>
      </c>
      <c r="BF168">
        <f>AA168*(AA$1-$AF168)^2</f>
        <v>0</v>
      </c>
      <c r="BG168">
        <f>AB168*(AB$1-$AF168)^2</f>
        <v>0</v>
      </c>
      <c r="BH168">
        <f>AC168*(AC$1-$AF168)^2</f>
        <v>0</v>
      </c>
      <c r="BI168">
        <f>AD168*(AD$1-$AF168)^2</f>
        <v>0</v>
      </c>
      <c r="BJ168">
        <f>AE168*(AE$1-$AF168)^2</f>
        <v>0</v>
      </c>
      <c r="BK168">
        <f>SQRT(SUM(AG168:BJ168)/SUM(B168:AE168))</f>
        <v>3.9626253923377619</v>
      </c>
      <c r="BL168">
        <f>_xlfn.FLOOR.MATH((AF168-BK168)/5)</f>
        <v>1</v>
      </c>
    </row>
    <row r="169" spans="1:64">
      <c r="A169" t="s">
        <v>442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5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f>SUMPRODUCT($B$1:$AE$1,B169:AE169)/SUM(B169:AE169)</f>
        <v>20</v>
      </c>
      <c r="AG169">
        <f>B169*(B$1-$AF169)^2</f>
        <v>0</v>
      </c>
      <c r="AH169">
        <f>C169*(C$1-$AF169)^2</f>
        <v>0</v>
      </c>
      <c r="AI169">
        <f>D169*(D$1-$AF169)^2</f>
        <v>0</v>
      </c>
      <c r="AJ169">
        <f>E169*(E$1-$AF169)^2</f>
        <v>0</v>
      </c>
      <c r="AK169">
        <f>F169*(F$1-$AF169)^2</f>
        <v>0</v>
      </c>
      <c r="AL169">
        <f>G169*(G$1-$AF169)^2</f>
        <v>0</v>
      </c>
      <c r="AM169">
        <f>H169*(H$1-$AF169)^2</f>
        <v>0</v>
      </c>
      <c r="AN169">
        <f>I169*(I$1-$AF169)^2</f>
        <v>0</v>
      </c>
      <c r="AO169">
        <f>J169*(J$1-$AF169)^2</f>
        <v>0</v>
      </c>
      <c r="AP169">
        <f>K169*(K$1-$AF169)^2</f>
        <v>0</v>
      </c>
      <c r="AQ169">
        <f>L169*(L$1-$AF169)^2</f>
        <v>0</v>
      </c>
      <c r="AR169">
        <f>M169*(M$1-$AF169)^2</f>
        <v>0</v>
      </c>
      <c r="AS169">
        <f>N169*(N$1-$AF169)^2</f>
        <v>0</v>
      </c>
      <c r="AT169">
        <f>O169*(O$1-$AF169)^2</f>
        <v>0</v>
      </c>
      <c r="AU169">
        <f>P169*(P$1-$AF169)^2</f>
        <v>0</v>
      </c>
      <c r="AV169">
        <f>Q169*(Q$1-$AF169)^2</f>
        <v>0</v>
      </c>
      <c r="AW169">
        <f>R169*(R$1-$AF169)^2</f>
        <v>0</v>
      </c>
      <c r="AX169">
        <f>S169*(S$1-$AF169)^2</f>
        <v>0</v>
      </c>
      <c r="AY169">
        <f>T169*(T$1-$AF169)^2</f>
        <v>0</v>
      </c>
      <c r="AZ169">
        <f>U169*(U$1-$AF169)^2</f>
        <v>0</v>
      </c>
      <c r="BA169">
        <f>V169*(V$1-$AF169)^2</f>
        <v>0</v>
      </c>
      <c r="BB169">
        <f>W169*(W$1-$AF169)^2</f>
        <v>0</v>
      </c>
      <c r="BC169">
        <f>X169*(X$1-$AF169)^2</f>
        <v>0</v>
      </c>
      <c r="BD169">
        <f>Y169*(Y$1-$AF169)^2</f>
        <v>0</v>
      </c>
      <c r="BE169">
        <f>Z169*(Z$1-$AF169)^2</f>
        <v>0</v>
      </c>
      <c r="BF169">
        <f>AA169*(AA$1-$AF169)^2</f>
        <v>0</v>
      </c>
      <c r="BG169">
        <f>AB169*(AB$1-$AF169)^2</f>
        <v>0</v>
      </c>
      <c r="BH169">
        <f>AC169*(AC$1-$AF169)^2</f>
        <v>0</v>
      </c>
      <c r="BI169">
        <f>AD169*(AD$1-$AF169)^2</f>
        <v>0</v>
      </c>
      <c r="BJ169">
        <f>AE169*(AE$1-$AF169)^2</f>
        <v>0</v>
      </c>
      <c r="BK169">
        <f>SQRT(SUM(AG169:BJ169)/SUM(B169:AE169))</f>
        <v>0</v>
      </c>
      <c r="BL169">
        <f>_xlfn.FLOOR.MATH((AF169-BK169)/5)</f>
        <v>4</v>
      </c>
    </row>
    <row r="170" spans="1:64">
      <c r="A170" t="s">
        <v>443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8</v>
      </c>
      <c r="T170">
        <v>4</v>
      </c>
      <c r="U170">
        <v>2</v>
      </c>
      <c r="V170">
        <v>2</v>
      </c>
      <c r="W170">
        <v>5</v>
      </c>
      <c r="X170">
        <v>1</v>
      </c>
      <c r="Y170">
        <v>3</v>
      </c>
      <c r="Z170">
        <v>3</v>
      </c>
      <c r="AA170">
        <v>1</v>
      </c>
      <c r="AB170">
        <v>0</v>
      </c>
      <c r="AC170">
        <v>0</v>
      </c>
      <c r="AD170">
        <v>0</v>
      </c>
      <c r="AE170">
        <v>0</v>
      </c>
      <c r="AF170">
        <f>SUMPRODUCT($B$1:$AE$1,B170:AE170)/SUM(B170:AE170)</f>
        <v>20.96551724137931</v>
      </c>
      <c r="AG170">
        <f>B170*(B$1-$AF170)^2</f>
        <v>0</v>
      </c>
      <c r="AH170">
        <f>C170*(C$1-$AF170)^2</f>
        <v>0</v>
      </c>
      <c r="AI170">
        <f>D170*(D$1-$AF170)^2</f>
        <v>0</v>
      </c>
      <c r="AJ170">
        <f>E170*(E$1-$AF170)^2</f>
        <v>0</v>
      </c>
      <c r="AK170">
        <f>F170*(F$1-$AF170)^2</f>
        <v>0</v>
      </c>
      <c r="AL170">
        <f>G170*(G$1-$AF170)^2</f>
        <v>0</v>
      </c>
      <c r="AM170">
        <f>H170*(H$1-$AF170)^2</f>
        <v>0</v>
      </c>
      <c r="AN170">
        <f>I170*(I$1-$AF170)^2</f>
        <v>0</v>
      </c>
      <c r="AO170">
        <f>J170*(J$1-$AF170)^2</f>
        <v>0</v>
      </c>
      <c r="AP170">
        <f>K170*(K$1-$AF170)^2</f>
        <v>0</v>
      </c>
      <c r="AQ170">
        <f>L170*(L$1-$AF170)^2</f>
        <v>0</v>
      </c>
      <c r="AR170">
        <f>M170*(M$1-$AF170)^2</f>
        <v>0</v>
      </c>
      <c r="AS170">
        <f>N170*(N$1-$AF170)^2</f>
        <v>0</v>
      </c>
      <c r="AT170">
        <f>O170*(O$1-$AF170)^2</f>
        <v>0</v>
      </c>
      <c r="AU170">
        <f>P170*(P$1-$AF170)^2</f>
        <v>0</v>
      </c>
      <c r="AV170">
        <f>Q170*(Q$1-$AF170)^2</f>
        <v>0</v>
      </c>
      <c r="AW170">
        <f>R170*(R$1-$AF170)^2</f>
        <v>0</v>
      </c>
      <c r="AX170">
        <f>S170*(S$1-$AF170)^2</f>
        <v>70.3543400713436</v>
      </c>
      <c r="AY170">
        <f>T170*(T$1-$AF170)^2</f>
        <v>15.453032104637325</v>
      </c>
      <c r="AZ170">
        <f>U170*(U$1-$AF170)^2</f>
        <v>1.864447086801424</v>
      </c>
      <c r="BA170">
        <f>V170*(V$1-$AF170)^2</f>
        <v>2.3781212841855947E-3</v>
      </c>
      <c r="BB170">
        <f>W170*(W$1-$AF170)^2</f>
        <v>5.3507728894173674</v>
      </c>
      <c r="BC170">
        <f>X170*(X$1-$AF170)^2</f>
        <v>4.1391200951248548</v>
      </c>
      <c r="BD170">
        <f>Y170*(Y$1-$AF170)^2</f>
        <v>27.624256837098706</v>
      </c>
      <c r="BE170">
        <f>Z170*(Z$1-$AF170)^2</f>
        <v>48.831153388822855</v>
      </c>
      <c r="BF170">
        <f>AA170*(AA$1-$AF170)^2</f>
        <v>25.346016646848998</v>
      </c>
      <c r="BG170">
        <f>AB170*(AB$1-$AF170)^2</f>
        <v>0</v>
      </c>
      <c r="BH170">
        <f>AC170*(AC$1-$AF170)^2</f>
        <v>0</v>
      </c>
      <c r="BI170">
        <f>AD170*(AD$1-$AF170)^2</f>
        <v>0</v>
      </c>
      <c r="BJ170">
        <f>AE170*(AE$1-$AF170)^2</f>
        <v>0</v>
      </c>
      <c r="BK170">
        <f>SQRT(SUM(AG170:BJ170)/SUM(B170:AE170))</f>
        <v>2.6193281399769575</v>
      </c>
      <c r="BL170">
        <f>_xlfn.FLOOR.MATH((AF170-BK170)/5)</f>
        <v>3</v>
      </c>
    </row>
    <row r="171" spans="1:64">
      <c r="A171" t="s">
        <v>444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5</v>
      </c>
      <c r="R171">
        <v>26</v>
      </c>
      <c r="S171">
        <v>22</v>
      </c>
      <c r="T171">
        <v>16</v>
      </c>
      <c r="U171">
        <v>15</v>
      </c>
      <c r="V171">
        <v>15</v>
      </c>
      <c r="W171">
        <v>14</v>
      </c>
      <c r="X171">
        <v>13</v>
      </c>
      <c r="Y171">
        <v>3</v>
      </c>
      <c r="Z171">
        <v>7</v>
      </c>
      <c r="AA171">
        <v>4</v>
      </c>
      <c r="AB171">
        <v>2</v>
      </c>
      <c r="AC171">
        <v>1</v>
      </c>
      <c r="AD171">
        <v>0</v>
      </c>
      <c r="AE171">
        <v>1</v>
      </c>
      <c r="AF171">
        <f>SUMPRODUCT($B$1:$AE$1,B171:AE171)/SUM(B171:AE171)</f>
        <v>20.131034482758622</v>
      </c>
      <c r="AG171">
        <f>B171*(B$1-$AF171)^2</f>
        <v>0</v>
      </c>
      <c r="AH171">
        <f>C171*(C$1-$AF171)^2</f>
        <v>0</v>
      </c>
      <c r="AI171">
        <f>D171*(D$1-$AF171)^2</f>
        <v>0</v>
      </c>
      <c r="AJ171">
        <f>E171*(E$1-$AF171)^2</f>
        <v>0</v>
      </c>
      <c r="AK171">
        <f>F171*(F$1-$AF171)^2</f>
        <v>0</v>
      </c>
      <c r="AL171">
        <f>G171*(G$1-$AF171)^2</f>
        <v>0</v>
      </c>
      <c r="AM171">
        <f>H171*(H$1-$AF171)^2</f>
        <v>0</v>
      </c>
      <c r="AN171">
        <f>I171*(I$1-$AF171)^2</f>
        <v>0</v>
      </c>
      <c r="AO171">
        <f>J171*(J$1-$AF171)^2</f>
        <v>0</v>
      </c>
      <c r="AP171">
        <f>K171*(K$1-$AF171)^2</f>
        <v>0</v>
      </c>
      <c r="AQ171">
        <f>L171*(L$1-$AF171)^2</f>
        <v>0</v>
      </c>
      <c r="AR171">
        <f>M171*(M$1-$AF171)^2</f>
        <v>66.113721759809778</v>
      </c>
      <c r="AS171">
        <f>N171*(N$1-$AF171)^2</f>
        <v>0</v>
      </c>
      <c r="AT171">
        <f>O171*(O$1-$AF171)^2</f>
        <v>0</v>
      </c>
      <c r="AU171">
        <f>P171*(P$1-$AF171)^2</f>
        <v>0</v>
      </c>
      <c r="AV171">
        <f>Q171*(Q$1-$AF171)^2</f>
        <v>85.327229488703992</v>
      </c>
      <c r="AW171">
        <f>R171*(R$1-$AF171)^2</f>
        <v>254.88780023781234</v>
      </c>
      <c r="AX171">
        <f>S171*(S$1-$AF171)^2</f>
        <v>99.908775267538772</v>
      </c>
      <c r="AY171">
        <f>T171*(T$1-$AF171)^2</f>
        <v>20.46782401902502</v>
      </c>
      <c r="AZ171">
        <f>U171*(U$1-$AF171)^2</f>
        <v>0.25755053507729431</v>
      </c>
      <c r="BA171">
        <f>V171*(V$1-$AF171)^2</f>
        <v>11.326516052318633</v>
      </c>
      <c r="BB171">
        <f>W171*(W$1-$AF171)^2</f>
        <v>48.90244946492264</v>
      </c>
      <c r="BC171">
        <f>X171*(X$1-$AF171)^2</f>
        <v>107.00252080856113</v>
      </c>
      <c r="BD171">
        <f>Y171*(Y$1-$AF171)^2</f>
        <v>44.906682520808531</v>
      </c>
      <c r="BE171">
        <f>Z171*(Z$1-$AF171)^2</f>
        <v>165.9477764565992</v>
      </c>
      <c r="BF171">
        <f>AA171*(AA$1-$AF171)^2</f>
        <v>137.77902497027341</v>
      </c>
      <c r="BG171">
        <f>AB171*(AB$1-$AF171)^2</f>
        <v>94.365374554102218</v>
      </c>
      <c r="BH171">
        <f>AC171*(AC$1-$AF171)^2</f>
        <v>61.920618311533865</v>
      </c>
      <c r="BI171">
        <f>AD171*(AD$1-$AF171)^2</f>
        <v>0</v>
      </c>
      <c r="BJ171">
        <f>AE171*(AE$1-$AF171)^2</f>
        <v>97.396480380499384</v>
      </c>
      <c r="BK171">
        <f>SQRT(SUM(AG171:BJ171)/SUM(B171:AE171))</f>
        <v>2.9902258533400703</v>
      </c>
      <c r="BL171">
        <f>_xlfn.FLOOR.MATH((AF171-BK171)/5)</f>
        <v>3</v>
      </c>
    </row>
    <row r="172" spans="1:64">
      <c r="A172" t="s">
        <v>445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5</v>
      </c>
      <c r="O172">
        <v>3</v>
      </c>
      <c r="P172">
        <v>22</v>
      </c>
      <c r="Q172">
        <v>68</v>
      </c>
      <c r="R172">
        <v>107</v>
      </c>
      <c r="S172">
        <v>115</v>
      </c>
      <c r="T172">
        <v>125</v>
      </c>
      <c r="U172">
        <v>135</v>
      </c>
      <c r="V172">
        <v>152</v>
      </c>
      <c r="W172">
        <v>141</v>
      </c>
      <c r="X172">
        <v>113</v>
      </c>
      <c r="Y172">
        <v>52</v>
      </c>
      <c r="Z172">
        <v>47</v>
      </c>
      <c r="AA172">
        <v>46</v>
      </c>
      <c r="AB172">
        <v>40</v>
      </c>
      <c r="AC172">
        <v>19</v>
      </c>
      <c r="AD172">
        <v>5</v>
      </c>
      <c r="AE172">
        <v>6</v>
      </c>
      <c r="AF172">
        <f>SUMPRODUCT($B$1:$AE$1,B172:AE172)/SUM(B172:AE172)</f>
        <v>20.764363030807662</v>
      </c>
      <c r="AG172">
        <f>B172*(B$1-$AF172)^2</f>
        <v>0</v>
      </c>
      <c r="AH172">
        <f>C172*(C$1-$AF172)^2</f>
        <v>0</v>
      </c>
      <c r="AI172">
        <f>D172*(D$1-$AF172)^2</f>
        <v>0</v>
      </c>
      <c r="AJ172">
        <f>E172*(E$1-$AF172)^2</f>
        <v>0</v>
      </c>
      <c r="AK172">
        <f>F172*(F$1-$AF172)^2</f>
        <v>0</v>
      </c>
      <c r="AL172">
        <f>G172*(G$1-$AF172)^2</f>
        <v>0</v>
      </c>
      <c r="AM172">
        <f>H172*(H$1-$AF172)^2</f>
        <v>0</v>
      </c>
      <c r="AN172">
        <f>I172*(I$1-$AF172)^2</f>
        <v>0</v>
      </c>
      <c r="AO172">
        <f>J172*(J$1-$AF172)^2</f>
        <v>0</v>
      </c>
      <c r="AP172">
        <f>K172*(K$1-$AF172)^2</f>
        <v>0</v>
      </c>
      <c r="AQ172">
        <f>L172*(L$1-$AF172)^2</f>
        <v>0</v>
      </c>
      <c r="AR172">
        <f>M172*(M$1-$AF172)^2</f>
        <v>0</v>
      </c>
      <c r="AS172">
        <f>N172*(N$1-$AF172)^2</f>
        <v>301.4266663708637</v>
      </c>
      <c r="AT172">
        <f>O172*(O$1-$AF172)^2</f>
        <v>137.26982163767224</v>
      </c>
      <c r="AU172">
        <f>P172*(P$1-$AF172)^2</f>
        <v>731.013385320726</v>
      </c>
      <c r="AV172">
        <f>Q172*(Q$1-$AF172)^2</f>
        <v>1543.5425460742204</v>
      </c>
      <c r="AW172">
        <f>R172*(R$1-$AF172)^2</f>
        <v>1516.2359059651246</v>
      </c>
      <c r="AX172">
        <f>S172*(S$1-$AF172)^2</f>
        <v>878.79584110105395</v>
      </c>
      <c r="AY172">
        <f>T172*(T$1-$AF172)^2</f>
        <v>389.12211306009971</v>
      </c>
      <c r="AZ172">
        <f>U172*(U$1-$AF172)^2</f>
        <v>78.873863786839038</v>
      </c>
      <c r="BA172">
        <f>V172*(V$1-$AF172)^2</f>
        <v>8.4397667500229527</v>
      </c>
      <c r="BB172">
        <f>W172*(W$1-$AF172)^2</f>
        <v>215.2786194685107</v>
      </c>
      <c r="BC172">
        <f>X172*(X$1-$AF172)^2</f>
        <v>564.78221035620402</v>
      </c>
      <c r="BD172">
        <f>Y172*(Y$1-$AF172)^2</f>
        <v>544.40602301301737</v>
      </c>
      <c r="BE172">
        <f>Z172*(Z$1-$AF172)^2</f>
        <v>843.20916513507643</v>
      </c>
      <c r="BF172">
        <f>AA172*(AA$1-$AF172)^2</f>
        <v>1260.9471457659827</v>
      </c>
      <c r="BG172">
        <f>AB172*(AB$1-$AF172)^2</f>
        <v>1555.3267364623284</v>
      </c>
      <c r="BH172">
        <f>AC172*(AC$1-$AF172)^2</f>
        <v>994.73440464891485</v>
      </c>
      <c r="BI172">
        <f>AD172*(AD$1-$AF172)^2</f>
        <v>339.12858144163783</v>
      </c>
      <c r="BJ172">
        <f>AE172*(AE$1-$AF172)^2</f>
        <v>511.78194136027344</v>
      </c>
      <c r="BK172">
        <f>SQRT(SUM(AG172:BJ172)/SUM(B172:AE172))</f>
        <v>3.2150658481217778</v>
      </c>
      <c r="BL172">
        <f>_xlfn.FLOOR.MATH((AF172-BK172)/5)</f>
        <v>3</v>
      </c>
    </row>
    <row r="173" spans="1:64">
      <c r="A173" t="s">
        <v>446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3</v>
      </c>
      <c r="K173">
        <v>10</v>
      </c>
      <c r="L173">
        <v>26</v>
      </c>
      <c r="M173">
        <v>88</v>
      </c>
      <c r="N173">
        <v>85</v>
      </c>
      <c r="O173">
        <v>77</v>
      </c>
      <c r="P173">
        <v>68</v>
      </c>
      <c r="Q173">
        <v>65</v>
      </c>
      <c r="R173">
        <v>53</v>
      </c>
      <c r="S173">
        <v>36</v>
      </c>
      <c r="T173">
        <v>37</v>
      </c>
      <c r="U173">
        <v>34</v>
      </c>
      <c r="V173">
        <v>27</v>
      </c>
      <c r="W173">
        <v>27</v>
      </c>
      <c r="X173">
        <v>24</v>
      </c>
      <c r="Y173">
        <v>17</v>
      </c>
      <c r="Z173">
        <v>14</v>
      </c>
      <c r="AA173">
        <v>11</v>
      </c>
      <c r="AB173">
        <v>4</v>
      </c>
      <c r="AC173">
        <v>2</v>
      </c>
      <c r="AD173">
        <v>0</v>
      </c>
      <c r="AE173">
        <v>1</v>
      </c>
      <c r="AF173">
        <f>SUMPRODUCT($B$1:$AE$1,B173:AE173)/SUM(B173:AE173)</f>
        <v>16.354019746121299</v>
      </c>
      <c r="AG173">
        <f>B173*(B$1-$AF173)^2</f>
        <v>0</v>
      </c>
      <c r="AH173">
        <f>C173*(C$1-$AF173)^2</f>
        <v>0</v>
      </c>
      <c r="AI173">
        <f>D173*(D$1-$AF173)^2</f>
        <v>0</v>
      </c>
      <c r="AJ173">
        <f>E173*(E$1-$AF173)^2</f>
        <v>0</v>
      </c>
      <c r="AK173">
        <f>F173*(F$1-$AF173)^2</f>
        <v>0</v>
      </c>
      <c r="AL173">
        <f>G173*(G$1-$AF173)^2</f>
        <v>0</v>
      </c>
      <c r="AM173">
        <f>H173*(H$1-$AF173)^2</f>
        <v>0</v>
      </c>
      <c r="AN173">
        <f>I173*(I$1-$AF173)^2</f>
        <v>0</v>
      </c>
      <c r="AO173">
        <f>J173*(J$1-$AF173)^2</f>
        <v>162.24481927902593</v>
      </c>
      <c r="AP173">
        <f>K173*(K$1-$AF173)^2</f>
        <v>403.73566934099381</v>
      </c>
      <c r="AQ173">
        <f>L173*(L$1-$AF173)^2</f>
        <v>745.30371348827623</v>
      </c>
      <c r="AR173">
        <f>M173*(M$1-$AF173)^2</f>
        <v>1668.2589395660477</v>
      </c>
      <c r="AS173">
        <f>N173*(N$1-$AF173)^2</f>
        <v>956.20311887658454</v>
      </c>
      <c r="AT173">
        <f>O173*(O$1-$AF173)^2</f>
        <v>426.68849031493187</v>
      </c>
      <c r="AU173">
        <f>P173*(P$1-$AF173)^2</f>
        <v>124.66912415627434</v>
      </c>
      <c r="AV173">
        <f>Q173*(Q$1-$AF173)^2</f>
        <v>8.146448741846287</v>
      </c>
      <c r="AW173">
        <f>R173*(R$1-$AF173)^2</f>
        <v>22.11639588526312</v>
      </c>
      <c r="AX173">
        <f>S173*(S$1-$AF173)^2</f>
        <v>97.533035861709351</v>
      </c>
      <c r="AY173">
        <f>T173*(T$1-$AF173)^2</f>
        <v>259.04482564489183</v>
      </c>
      <c r="AZ173">
        <f>U173*(U$1-$AF173)^2</f>
        <v>451.96784839689548</v>
      </c>
      <c r="BA173">
        <f>V173*(V$1-$AF173)^2</f>
        <v>582.79857802463152</v>
      </c>
      <c r="BB173">
        <f>W173*(W$1-$AF173)^2</f>
        <v>860.68151173408137</v>
      </c>
      <c r="BC173">
        <f>X173*(X$1-$AF173)^2</f>
        <v>1060.0572848386946</v>
      </c>
      <c r="BD173">
        <f>Y173*(Y$1-$AF173)^2</f>
        <v>993.83723872595112</v>
      </c>
      <c r="BE173">
        <f>Z173*(Z$1-$AF173)^2</f>
        <v>1046.5416437064457</v>
      </c>
      <c r="BF173">
        <f>AA173*(AA$1-$AF173)^2</f>
        <v>1023.4942856403958</v>
      </c>
      <c r="BG173">
        <f>AB173*(AB$1-$AF173)^2</f>
        <v>453.34758226390085</v>
      </c>
      <c r="BH173">
        <f>AC173*(AC$1-$AF173)^2</f>
        <v>271.25771214746521</v>
      </c>
      <c r="BI173">
        <f>AD173*(AD$1-$AF173)^2</f>
        <v>0</v>
      </c>
      <c r="BJ173">
        <f>AE173*(AE$1-$AF173)^2</f>
        <v>186.21277708924742</v>
      </c>
      <c r="BK173">
        <f>SQRT(SUM(AG173:BJ173)/SUM(B173:AE173))</f>
        <v>4.0803186225672778</v>
      </c>
      <c r="BL173">
        <f>_xlfn.FLOOR.MATH((AF173-BK173)/5)</f>
        <v>2</v>
      </c>
    </row>
    <row r="174" spans="1:64">
      <c r="A174" t="s">
        <v>447</v>
      </c>
      <c r="B174">
        <v>0</v>
      </c>
      <c r="C174">
        <v>0</v>
      </c>
      <c r="D174">
        <v>0</v>
      </c>
      <c r="E174">
        <v>0</v>
      </c>
      <c r="F174">
        <v>1</v>
      </c>
      <c r="G174">
        <v>5</v>
      </c>
      <c r="H174">
        <v>5</v>
      </c>
      <c r="I174">
        <v>10</v>
      </c>
      <c r="J174">
        <v>17</v>
      </c>
      <c r="K174">
        <v>18</v>
      </c>
      <c r="L174">
        <v>14</v>
      </c>
      <c r="M174">
        <v>18</v>
      </c>
      <c r="N174">
        <v>18</v>
      </c>
      <c r="O174">
        <v>12</v>
      </c>
      <c r="P174">
        <v>12</v>
      </c>
      <c r="Q174">
        <v>11</v>
      </c>
      <c r="R174">
        <v>9</v>
      </c>
      <c r="S174">
        <v>10</v>
      </c>
      <c r="T174">
        <v>5</v>
      </c>
      <c r="U174">
        <v>8</v>
      </c>
      <c r="V174">
        <v>3</v>
      </c>
      <c r="W174">
        <v>8</v>
      </c>
      <c r="X174">
        <v>4</v>
      </c>
      <c r="Y174">
        <v>2</v>
      </c>
      <c r="Z174">
        <v>1</v>
      </c>
      <c r="AA174">
        <v>1</v>
      </c>
      <c r="AB174">
        <v>0</v>
      </c>
      <c r="AC174">
        <v>0</v>
      </c>
      <c r="AD174">
        <v>0</v>
      </c>
      <c r="AE174">
        <v>0</v>
      </c>
      <c r="AF174">
        <f>SUMPRODUCT($B$1:$AE$1,B174:AE174)/SUM(B174:AE174)</f>
        <v>13.692708333333334</v>
      </c>
      <c r="AG174">
        <f>B174*(B$1-$AF174)^2</f>
        <v>0</v>
      </c>
      <c r="AH174">
        <f>C174*(C$1-$AF174)^2</f>
        <v>0</v>
      </c>
      <c r="AI174">
        <f>D174*(D$1-$AF174)^2</f>
        <v>0</v>
      </c>
      <c r="AJ174">
        <f>E174*(E$1-$AF174)^2</f>
        <v>0</v>
      </c>
      <c r="AK174">
        <f>F174*(F$1-$AF174)^2</f>
        <v>75.563178168402786</v>
      </c>
      <c r="AL174">
        <f>G174*(G$1-$AF174)^2</f>
        <v>295.8888075086806</v>
      </c>
      <c r="AM174">
        <f>H174*(H$1-$AF174)^2</f>
        <v>223.96172417534726</v>
      </c>
      <c r="AN174">
        <f>I174*(I$1-$AF174)^2</f>
        <v>324.06928168402783</v>
      </c>
      <c r="AO174">
        <f>J174*(J$1-$AF174)^2</f>
        <v>374.36569552951403</v>
      </c>
      <c r="AP174">
        <f>K174*(K$1-$AF174)^2</f>
        <v>245.44970703125006</v>
      </c>
      <c r="AQ174">
        <f>L174*(L$1-$AF174)^2</f>
        <v>101.50949435763894</v>
      </c>
      <c r="AR174">
        <f>M174*(M$1-$AF174)^2</f>
        <v>51.574707031250036</v>
      </c>
      <c r="AS174">
        <f>N174*(N$1-$AF174)^2</f>
        <v>8.6372070312500142</v>
      </c>
      <c r="AT174">
        <f>O174*(O$1-$AF174)^2</f>
        <v>1.133138020833329</v>
      </c>
      <c r="AU174">
        <f>P174*(P$1-$AF174)^2</f>
        <v>20.508138020833314</v>
      </c>
      <c r="AV174">
        <f>Q174*(Q$1-$AF174)^2</f>
        <v>58.559543185763864</v>
      </c>
      <c r="AW174">
        <f>R174*(R$1-$AF174)^2</f>
        <v>98.443603515624957</v>
      </c>
      <c r="AX174">
        <f>S174*(S$1-$AF174)^2</f>
        <v>185.52761501736109</v>
      </c>
      <c r="AY174">
        <f>T174*(T$1-$AF174)^2</f>
        <v>140.8367241753472</v>
      </c>
      <c r="AZ174">
        <f>U174*(U$1-$AF174)^2</f>
        <v>318.25542534722217</v>
      </c>
      <c r="BA174">
        <f>V174*(V$1-$AF174)^2</f>
        <v>160.18953450520831</v>
      </c>
      <c r="BB174">
        <f>W174*(W$1-$AF174)^2</f>
        <v>552.08875868055543</v>
      </c>
      <c r="BC174">
        <f>X174*(X$1-$AF174)^2</f>
        <v>346.50271267361109</v>
      </c>
      <c r="BD174">
        <f>Y174*(Y$1-$AF174)^2</f>
        <v>212.4805230034722</v>
      </c>
      <c r="BE174">
        <f>Z174*(Z$1-$AF174)^2</f>
        <v>127.85484483506943</v>
      </c>
      <c r="BF174">
        <f>AA174*(AA$1-$AF174)^2</f>
        <v>151.46942816840277</v>
      </c>
      <c r="BG174">
        <f>AB174*(AB$1-$AF174)^2</f>
        <v>0</v>
      </c>
      <c r="BH174">
        <f>AC174*(AC$1-$AF174)^2</f>
        <v>0</v>
      </c>
      <c r="BI174">
        <f>AD174*(AD$1-$AF174)^2</f>
        <v>0</v>
      </c>
      <c r="BJ174">
        <f>AE174*(AE$1-$AF174)^2</f>
        <v>0</v>
      </c>
      <c r="BK174">
        <f>SQRT(SUM(AG174:BJ174)/SUM(B174:AE174))</f>
        <v>4.6068731440023996</v>
      </c>
      <c r="BL174">
        <f>_xlfn.FLOOR.MATH((AF174-BK174)/5)</f>
        <v>1</v>
      </c>
    </row>
    <row r="175" spans="1:64">
      <c r="A175" t="s">
        <v>448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</v>
      </c>
      <c r="R175">
        <v>0</v>
      </c>
      <c r="S175">
        <v>2</v>
      </c>
      <c r="T175">
        <v>1</v>
      </c>
      <c r="U175">
        <v>0</v>
      </c>
      <c r="V175">
        <v>10</v>
      </c>
      <c r="W175">
        <v>0</v>
      </c>
      <c r="X175">
        <v>1</v>
      </c>
      <c r="Y175">
        <v>0</v>
      </c>
      <c r="Z175">
        <v>0</v>
      </c>
      <c r="AA175">
        <v>2</v>
      </c>
      <c r="AB175">
        <v>0</v>
      </c>
      <c r="AC175">
        <v>0</v>
      </c>
      <c r="AD175">
        <v>0</v>
      </c>
      <c r="AE175">
        <v>0</v>
      </c>
      <c r="AF175">
        <f>SUMPRODUCT($B$1:$AE$1,B175:AE175)/SUM(B175:AE175)</f>
        <v>20.941176470588236</v>
      </c>
      <c r="AG175">
        <f>B175*(B$1-$AF175)^2</f>
        <v>0</v>
      </c>
      <c r="AH175">
        <f>C175*(C$1-$AF175)^2</f>
        <v>0</v>
      </c>
      <c r="AI175">
        <f>D175*(D$1-$AF175)^2</f>
        <v>0</v>
      </c>
      <c r="AJ175">
        <f>E175*(E$1-$AF175)^2</f>
        <v>0</v>
      </c>
      <c r="AK175">
        <f>F175*(F$1-$AF175)^2</f>
        <v>0</v>
      </c>
      <c r="AL175">
        <f>G175*(G$1-$AF175)^2</f>
        <v>0</v>
      </c>
      <c r="AM175">
        <f>H175*(H$1-$AF175)^2</f>
        <v>0</v>
      </c>
      <c r="AN175">
        <f>I175*(I$1-$AF175)^2</f>
        <v>0</v>
      </c>
      <c r="AO175">
        <f>J175*(J$1-$AF175)^2</f>
        <v>0</v>
      </c>
      <c r="AP175">
        <f>K175*(K$1-$AF175)^2</f>
        <v>0</v>
      </c>
      <c r="AQ175">
        <f>L175*(L$1-$AF175)^2</f>
        <v>0</v>
      </c>
      <c r="AR175">
        <f>M175*(M$1-$AF175)^2</f>
        <v>0</v>
      </c>
      <c r="AS175">
        <f>N175*(N$1-$AF175)^2</f>
        <v>0</v>
      </c>
      <c r="AT175">
        <f>O175*(O$1-$AF175)^2</f>
        <v>0</v>
      </c>
      <c r="AU175">
        <f>P175*(P$1-$AF175)^2</f>
        <v>0</v>
      </c>
      <c r="AV175">
        <f>Q175*(Q$1-$AF175)^2</f>
        <v>24.415224913494811</v>
      </c>
      <c r="AW175">
        <f>R175*(R$1-$AF175)^2</f>
        <v>0</v>
      </c>
      <c r="AX175">
        <f>S175*(S$1-$AF175)^2</f>
        <v>17.301038062283741</v>
      </c>
      <c r="AY175">
        <f>T175*(T$1-$AF175)^2</f>
        <v>3.7681660899653986</v>
      </c>
      <c r="AZ175">
        <f>U175*(U$1-$AF175)^2</f>
        <v>0</v>
      </c>
      <c r="BA175">
        <f>V175*(V$1-$AF175)^2</f>
        <v>3.4602076124567227E-2</v>
      </c>
      <c r="BB175">
        <f>W175*(W$1-$AF175)^2</f>
        <v>0</v>
      </c>
      <c r="BC175">
        <f>X175*(X$1-$AF175)^2</f>
        <v>4.2387543252595146</v>
      </c>
      <c r="BD175">
        <f>Y175*(Y$1-$AF175)^2</f>
        <v>0</v>
      </c>
      <c r="BE175">
        <f>Z175*(Z$1-$AF175)^2</f>
        <v>0</v>
      </c>
      <c r="BF175">
        <f>AA175*(AA$1-$AF175)^2</f>
        <v>51.183391003460201</v>
      </c>
      <c r="BG175">
        <f>AB175*(AB$1-$AF175)^2</f>
        <v>0</v>
      </c>
      <c r="BH175">
        <f>AC175*(AC$1-$AF175)^2</f>
        <v>0</v>
      </c>
      <c r="BI175">
        <f>AD175*(AD$1-$AF175)^2</f>
        <v>0</v>
      </c>
      <c r="BJ175">
        <f>AE175*(AE$1-$AF175)^2</f>
        <v>0</v>
      </c>
      <c r="BK175">
        <f>SQRT(SUM(AG175:BJ175)/SUM(B175:AE175))</f>
        <v>2.4367429620244678</v>
      </c>
      <c r="BL175">
        <f>_xlfn.FLOOR.MATH((AF175-BK175)/5)</f>
        <v>3</v>
      </c>
    </row>
    <row r="176" spans="1:64">
      <c r="A176" t="s">
        <v>449</v>
      </c>
      <c r="B176">
        <v>1</v>
      </c>
      <c r="C176">
        <v>4</v>
      </c>
      <c r="D176">
        <v>47</v>
      </c>
      <c r="E176">
        <v>85</v>
      </c>
      <c r="F176">
        <v>88</v>
      </c>
      <c r="G176">
        <v>79</v>
      </c>
      <c r="H176">
        <v>85</v>
      </c>
      <c r="I176">
        <v>94</v>
      </c>
      <c r="J176">
        <v>60</v>
      </c>
      <c r="K176">
        <v>58</v>
      </c>
      <c r="L176">
        <v>58</v>
      </c>
      <c r="M176">
        <v>56</v>
      </c>
      <c r="N176">
        <v>46</v>
      </c>
      <c r="O176">
        <v>42</v>
      </c>
      <c r="P176">
        <v>32</v>
      </c>
      <c r="Q176">
        <v>34</v>
      </c>
      <c r="R176">
        <v>21</v>
      </c>
      <c r="S176">
        <v>21</v>
      </c>
      <c r="T176">
        <v>19</v>
      </c>
      <c r="U176">
        <v>12</v>
      </c>
      <c r="V176">
        <v>2</v>
      </c>
      <c r="W176">
        <v>3</v>
      </c>
      <c r="X176">
        <v>6</v>
      </c>
      <c r="Y176">
        <v>2</v>
      </c>
      <c r="Z176">
        <v>2</v>
      </c>
      <c r="AA176">
        <v>1</v>
      </c>
      <c r="AB176">
        <v>2</v>
      </c>
      <c r="AC176">
        <v>0</v>
      </c>
      <c r="AD176">
        <v>1</v>
      </c>
      <c r="AE176">
        <v>0</v>
      </c>
      <c r="AF176">
        <f>SUMPRODUCT($B$1:$AE$1,B176:AE176)/SUM(B176:AE176)</f>
        <v>9.5525494276794998</v>
      </c>
      <c r="AG176">
        <f>B176*(B$1-$AF176)^2</f>
        <v>73.146101712900943</v>
      </c>
      <c r="AH176">
        <f>C176*(C$1-$AF176)^2</f>
        <v>228.16401143016776</v>
      </c>
      <c r="AI176">
        <f>D176*(D$1-$AF176)^2</f>
        <v>2017.987488102598</v>
      </c>
      <c r="AJ176">
        <f>E176*(E$1-$AF176)^2</f>
        <v>2620.618437480035</v>
      </c>
      <c r="AK176">
        <f>F176*(F$1-$AF176)^2</f>
        <v>1823.862153648915</v>
      </c>
      <c r="AL176">
        <f>G176*(G$1-$AF176)^2</f>
        <v>997.02798745236942</v>
      </c>
      <c r="AM176">
        <f>H176*(H$1-$AF176)^2</f>
        <v>553.81822936348999</v>
      </c>
      <c r="AN176">
        <f>I176*(I$1-$AF176)^2</f>
        <v>226.57851418646658</v>
      </c>
      <c r="AO176">
        <f>J176*(J$1-$AF176)^2</f>
        <v>18.318652201736565</v>
      </c>
      <c r="AP176">
        <f>K176*(K$1-$AF176)^2</f>
        <v>11.612296850856707</v>
      </c>
      <c r="AQ176">
        <f>L176*(L$1-$AF176)^2</f>
        <v>121.51656324003473</v>
      </c>
      <c r="AR176">
        <f>M176*(M$1-$AF176)^2</f>
        <v>335.44080102130886</v>
      </c>
      <c r="AS176">
        <f>N176*(N$1-$AF176)^2</f>
        <v>546.70611063527554</v>
      </c>
      <c r="AT176">
        <f>O176*(O$1-$AF176)^2</f>
        <v>830.7522969158257</v>
      </c>
      <c r="AU176">
        <f>P176*(P$1-$AF176)^2</f>
        <v>949.59096761199828</v>
      </c>
      <c r="AV176">
        <f>Q176*(Q$1-$AF176)^2</f>
        <v>1413.3670420055421</v>
      </c>
      <c r="AW176">
        <f>R176*(R$1-$AF176)^2</f>
        <v>1164.7549205702958</v>
      </c>
      <c r="AX176">
        <f>S176*(S$1-$AF176)^2</f>
        <v>1498.5478446077568</v>
      </c>
      <c r="AY176">
        <f>T176*(T$1-$AF176)^2</f>
        <v>1695.83212401234</v>
      </c>
      <c r="AZ176">
        <f>U176*(U$1-$AF176)^2</f>
        <v>1309.7906815329593</v>
      </c>
      <c r="BA176">
        <f>V176*(V$1-$AF176)^2</f>
        <v>262.08824921144191</v>
      </c>
      <c r="BB176">
        <f>W176*(W$1-$AF176)^2</f>
        <v>464.81707725108583</v>
      </c>
      <c r="BC176">
        <f>X176*(X$1-$AF176)^2</f>
        <v>1085.0035613700177</v>
      </c>
      <c r="BD176">
        <f>Y176*(Y$1-$AF176)^2</f>
        <v>417.45765607928791</v>
      </c>
      <c r="BE176">
        <f>Z176*(Z$1-$AF176)^2</f>
        <v>477.24745836856988</v>
      </c>
      <c r="BF176">
        <f>AA176*(AA$1-$AF176)^2</f>
        <v>270.51863032892589</v>
      </c>
      <c r="BG176">
        <f>AB176*(AB$1-$AF176)^2</f>
        <v>608.82706294713375</v>
      </c>
      <c r="BH176">
        <f>AC176*(AC$1-$AF176)^2</f>
        <v>0</v>
      </c>
      <c r="BI176">
        <f>AD176*(AD$1-$AF176)^2</f>
        <v>378.2033337628489</v>
      </c>
      <c r="BJ176">
        <f>AE176*(AE$1-$AF176)^2</f>
        <v>0</v>
      </c>
      <c r="BK176">
        <f>SQRT(SUM(AG176:BJ176)/SUM(B176:AE176))</f>
        <v>4.8281170350309957</v>
      </c>
      <c r="BL176">
        <f>_xlfn.FLOOR.MATH((AF176-BK176)/5)</f>
        <v>0</v>
      </c>
    </row>
    <row r="177" spans="1:64">
      <c r="A177" t="s">
        <v>450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1</v>
      </c>
      <c r="H177">
        <v>8</v>
      </c>
      <c r="I177">
        <v>8</v>
      </c>
      <c r="J177">
        <v>5</v>
      </c>
      <c r="K177">
        <v>9</v>
      </c>
      <c r="L177">
        <v>4</v>
      </c>
      <c r="M177">
        <v>6</v>
      </c>
      <c r="N177">
        <v>4</v>
      </c>
      <c r="O177">
        <v>4</v>
      </c>
      <c r="P177">
        <v>7</v>
      </c>
      <c r="Q177">
        <v>6</v>
      </c>
      <c r="R177">
        <v>8</v>
      </c>
      <c r="S177">
        <v>3</v>
      </c>
      <c r="T177">
        <v>6</v>
      </c>
      <c r="U177">
        <v>4</v>
      </c>
      <c r="V177">
        <v>1</v>
      </c>
      <c r="W177">
        <v>4</v>
      </c>
      <c r="X177">
        <v>1</v>
      </c>
      <c r="Y177">
        <v>1</v>
      </c>
      <c r="Z177">
        <v>1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f>SUMPRODUCT($B$1:$AE$1,B177:AE177)/SUM(B177:AE177)</f>
        <v>13.747252747252746</v>
      </c>
      <c r="AG177">
        <f>B177*(B$1-$AF177)^2</f>
        <v>0</v>
      </c>
      <c r="AH177">
        <f>C177*(C$1-$AF177)^2</f>
        <v>0</v>
      </c>
      <c r="AI177">
        <f>D177*(D$1-$AF177)^2</f>
        <v>0</v>
      </c>
      <c r="AJ177">
        <f>E177*(E$1-$AF177)^2</f>
        <v>0</v>
      </c>
      <c r="AK177">
        <f>F177*(F$1-$AF177)^2</f>
        <v>0</v>
      </c>
      <c r="AL177">
        <f>G177*(G$1-$AF177)^2</f>
        <v>60.019925129815228</v>
      </c>
      <c r="AM177">
        <f>H177*(H$1-$AF177)^2</f>
        <v>364.20335708247785</v>
      </c>
      <c r="AN177">
        <f>I177*(I$1-$AF177)^2</f>
        <v>264.24731312643394</v>
      </c>
      <c r="AO177">
        <f>J177*(J$1-$AF177)^2</f>
        <v>112.68204323149375</v>
      </c>
      <c r="AP177">
        <f>K177*(K$1-$AF177)^2</f>
        <v>126.37712836613929</v>
      </c>
      <c r="AQ177">
        <f>L177*(L$1-$AF177)^2</f>
        <v>30.189590629151049</v>
      </c>
      <c r="AR177">
        <f>M177*(M$1-$AF177)^2</f>
        <v>18.317352976693616</v>
      </c>
      <c r="AS177">
        <f>N177*(N$1-$AF177)^2</f>
        <v>2.2335466731071074</v>
      </c>
      <c r="AT177">
        <f>O177*(O$1-$AF177)^2</f>
        <v>0.25552469508513642</v>
      </c>
      <c r="AU177">
        <f>P177*(P$1-$AF177)^2</f>
        <v>10.98562975486054</v>
      </c>
      <c r="AV177">
        <f>Q177*(Q$1-$AF177)^2</f>
        <v>30.44922110856179</v>
      </c>
      <c r="AW177">
        <f>R177*(R$1-$AF177)^2</f>
        <v>84.642917522038445</v>
      </c>
      <c r="AX177">
        <f>S177*(S$1-$AF177)^2</f>
        <v>54.257577587247944</v>
      </c>
      <c r="AY177">
        <f>T177*(T$1-$AF177)^2</f>
        <v>165.54812220746294</v>
      </c>
      <c r="AZ177">
        <f>U177*(U$1-$AF177)^2</f>
        <v>156.38739282695332</v>
      </c>
      <c r="BA177">
        <f>V177*(V$1-$AF177)^2</f>
        <v>52.602342712232833</v>
      </c>
      <c r="BB177">
        <f>W177*(W$1-$AF177)^2</f>
        <v>272.43134887090935</v>
      </c>
      <c r="BC177">
        <f>X177*(X$1-$AF177)^2</f>
        <v>85.613331723221847</v>
      </c>
      <c r="BD177">
        <f>Y177*(Y$1-$AF177)^2</f>
        <v>105.11882622871636</v>
      </c>
      <c r="BE177">
        <f>Z177*(Z$1-$AF177)^2</f>
        <v>126.62432073421087</v>
      </c>
      <c r="BF177">
        <f>AA177*(AA$1-$AF177)^2</f>
        <v>0</v>
      </c>
      <c r="BG177">
        <f>AB177*(AB$1-$AF177)^2</f>
        <v>0</v>
      </c>
      <c r="BH177">
        <f>AC177*(AC$1-$AF177)^2</f>
        <v>0</v>
      </c>
      <c r="BI177">
        <f>AD177*(AD$1-$AF177)^2</f>
        <v>0</v>
      </c>
      <c r="BJ177">
        <f>AE177*(AE$1-$AF177)^2</f>
        <v>0</v>
      </c>
      <c r="BK177">
        <f>SQRT(SUM(AG177:BJ177)/SUM(B177:AE177))</f>
        <v>4.8302922501473047</v>
      </c>
      <c r="BL177">
        <f>_xlfn.FLOOR.MATH((AF177-BK177)/5)</f>
        <v>1</v>
      </c>
    </row>
    <row r="178" spans="1:64">
      <c r="A178" t="s">
        <v>451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2</v>
      </c>
      <c r="V178">
        <v>1</v>
      </c>
      <c r="W178">
        <v>3</v>
      </c>
      <c r="X178">
        <v>9</v>
      </c>
      <c r="Y178">
        <v>2</v>
      </c>
      <c r="Z178">
        <v>4</v>
      </c>
      <c r="AA178">
        <v>1</v>
      </c>
      <c r="AB178">
        <v>2</v>
      </c>
      <c r="AC178">
        <v>0</v>
      </c>
      <c r="AD178">
        <v>0</v>
      </c>
      <c r="AE178">
        <v>0</v>
      </c>
      <c r="AF178">
        <f>SUMPRODUCT($B$1:$AE$1,B178:AE178)/SUM(B178:AE178)</f>
        <v>23.24</v>
      </c>
      <c r="AG178">
        <f>B178*(B$1-$AF178)^2</f>
        <v>0</v>
      </c>
      <c r="AH178">
        <f>C178*(C$1-$AF178)^2</f>
        <v>0</v>
      </c>
      <c r="AI178">
        <f>D178*(D$1-$AF178)^2</f>
        <v>0</v>
      </c>
      <c r="AJ178">
        <f>E178*(E$1-$AF178)^2</f>
        <v>0</v>
      </c>
      <c r="AK178">
        <f>F178*(F$1-$AF178)^2</f>
        <v>0</v>
      </c>
      <c r="AL178">
        <f>G178*(G$1-$AF178)^2</f>
        <v>0</v>
      </c>
      <c r="AM178">
        <f>H178*(H$1-$AF178)^2</f>
        <v>0</v>
      </c>
      <c r="AN178">
        <f>I178*(I$1-$AF178)^2</f>
        <v>0</v>
      </c>
      <c r="AO178">
        <f>J178*(J$1-$AF178)^2</f>
        <v>0</v>
      </c>
      <c r="AP178">
        <f>K178*(K$1-$AF178)^2</f>
        <v>0</v>
      </c>
      <c r="AQ178">
        <f>L178*(L$1-$AF178)^2</f>
        <v>0</v>
      </c>
      <c r="AR178">
        <f>M178*(M$1-$AF178)^2</f>
        <v>0</v>
      </c>
      <c r="AS178">
        <f>N178*(N$1-$AF178)^2</f>
        <v>0</v>
      </c>
      <c r="AT178">
        <f>O178*(O$1-$AF178)^2</f>
        <v>0</v>
      </c>
      <c r="AU178">
        <f>P178*(P$1-$AF178)^2</f>
        <v>0</v>
      </c>
      <c r="AV178">
        <f>Q178*(Q$1-$AF178)^2</f>
        <v>0</v>
      </c>
      <c r="AW178">
        <f>R178*(R$1-$AF178)^2</f>
        <v>0</v>
      </c>
      <c r="AX178">
        <f>S178*(S$1-$AF178)^2</f>
        <v>0</v>
      </c>
      <c r="AY178">
        <f>T178*(T$1-$AF178)^2</f>
        <v>17.977599999999988</v>
      </c>
      <c r="AZ178">
        <f>U178*(U$1-$AF178)^2</f>
        <v>20.995199999999979</v>
      </c>
      <c r="BA178">
        <f>V178*(V$1-$AF178)^2</f>
        <v>5.0175999999999927</v>
      </c>
      <c r="BB178">
        <f>W178*(W$1-$AF178)^2</f>
        <v>4.6127999999999885</v>
      </c>
      <c r="BC178">
        <f>X178*(X$1-$AF178)^2</f>
        <v>0.5183999999999932</v>
      </c>
      <c r="BD178">
        <f>Y178*(Y$1-$AF178)^2</f>
        <v>1.1552000000000047</v>
      </c>
      <c r="BE178">
        <f>Z178*(Z$1-$AF178)^2</f>
        <v>12.390400000000023</v>
      </c>
      <c r="BF178">
        <f>AA178*(AA$1-$AF178)^2</f>
        <v>7.6176000000000084</v>
      </c>
      <c r="BG178">
        <f>AB178*(AB$1-$AF178)^2</f>
        <v>28.275200000000023</v>
      </c>
      <c r="BH178">
        <f>AC178*(AC$1-$AF178)^2</f>
        <v>0</v>
      </c>
      <c r="BI178">
        <f>AD178*(AD$1-$AF178)^2</f>
        <v>0</v>
      </c>
      <c r="BJ178">
        <f>AE178*(AE$1-$AF178)^2</f>
        <v>0</v>
      </c>
      <c r="BK178">
        <f>SQRT(SUM(AG178:BJ178)/SUM(B178:AE178))</f>
        <v>1.9855477833585371</v>
      </c>
      <c r="BL178">
        <f>_xlfn.FLOOR.MATH((AF178-BK178)/5)</f>
        <v>4</v>
      </c>
    </row>
    <row r="179" spans="1:64">
      <c r="A179" t="s">
        <v>452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2</v>
      </c>
      <c r="S179">
        <v>12</v>
      </c>
      <c r="T179">
        <v>7</v>
      </c>
      <c r="U179">
        <v>13</v>
      </c>
      <c r="V179">
        <v>12</v>
      </c>
      <c r="W179">
        <v>17</v>
      </c>
      <c r="X179">
        <v>16</v>
      </c>
      <c r="Y179">
        <v>10</v>
      </c>
      <c r="Z179">
        <v>9</v>
      </c>
      <c r="AA179">
        <v>11</v>
      </c>
      <c r="AB179">
        <v>4</v>
      </c>
      <c r="AC179">
        <v>1</v>
      </c>
      <c r="AD179">
        <v>0</v>
      </c>
      <c r="AE179">
        <v>3</v>
      </c>
      <c r="AF179">
        <f>SUMPRODUCT($B$1:$AE$1,B179:AE179)/SUM(B179:AE179)</f>
        <v>22.288135593220339</v>
      </c>
      <c r="AG179">
        <f>B179*(B$1-$AF179)^2</f>
        <v>0</v>
      </c>
      <c r="AH179">
        <f>C179*(C$1-$AF179)^2</f>
        <v>0</v>
      </c>
      <c r="AI179">
        <f>D179*(D$1-$AF179)^2</f>
        <v>0</v>
      </c>
      <c r="AJ179">
        <f>E179*(E$1-$AF179)^2</f>
        <v>0</v>
      </c>
      <c r="AK179">
        <f>F179*(F$1-$AF179)^2</f>
        <v>0</v>
      </c>
      <c r="AL179">
        <f>G179*(G$1-$AF179)^2</f>
        <v>0</v>
      </c>
      <c r="AM179">
        <f>H179*(H$1-$AF179)^2</f>
        <v>0</v>
      </c>
      <c r="AN179">
        <f>I179*(I$1-$AF179)^2</f>
        <v>0</v>
      </c>
      <c r="AO179">
        <f>J179*(J$1-$AF179)^2</f>
        <v>0</v>
      </c>
      <c r="AP179">
        <f>K179*(K$1-$AF179)^2</f>
        <v>0</v>
      </c>
      <c r="AQ179">
        <f>L179*(L$1-$AF179)^2</f>
        <v>0</v>
      </c>
      <c r="AR179">
        <f>M179*(M$1-$AF179)^2</f>
        <v>0</v>
      </c>
      <c r="AS179">
        <f>N179*(N$1-$AF179)^2</f>
        <v>0</v>
      </c>
      <c r="AT179">
        <f>O179*(O$1-$AF179)^2</f>
        <v>0</v>
      </c>
      <c r="AU179">
        <f>P179*(P$1-$AF179)^2</f>
        <v>0</v>
      </c>
      <c r="AV179">
        <f>Q179*(Q$1-$AF179)^2</f>
        <v>39.540649238724505</v>
      </c>
      <c r="AW179">
        <f>R179*(R$1-$AF179)^2</f>
        <v>55.928756104567654</v>
      </c>
      <c r="AX179">
        <f>S179*(S$1-$AF179)^2</f>
        <v>220.65728239011779</v>
      </c>
      <c r="AY179">
        <f>T179*(T$1-$AF179)^2</f>
        <v>75.682849755817301</v>
      </c>
      <c r="AZ179">
        <f>U179*(U$1-$AF179)^2</f>
        <v>68.062338408503308</v>
      </c>
      <c r="BA179">
        <f>V179*(V$1-$AF179)^2</f>
        <v>19.911519678253377</v>
      </c>
      <c r="BB179">
        <f>W179*(W$1-$AF179)^2</f>
        <v>1.4113760413674243</v>
      </c>
      <c r="BC179">
        <f>X179*(X$1-$AF179)^2</f>
        <v>8.1080149382361366</v>
      </c>
      <c r="BD179">
        <f>Y179*(Y$1-$AF179)^2</f>
        <v>29.304797471990803</v>
      </c>
      <c r="BE179">
        <f>Z179*(Z$1-$AF179)^2</f>
        <v>66.187877046825619</v>
      </c>
      <c r="BF179">
        <f>AA179*(AA$1-$AF179)^2</f>
        <v>151.55731111749495</v>
      </c>
      <c r="BG179">
        <f>AB179*(AB$1-$AF179)^2</f>
        <v>88.80666475150818</v>
      </c>
      <c r="BH179">
        <f>AC179*(AC$1-$AF179)^2</f>
        <v>32.625395001436367</v>
      </c>
      <c r="BI179">
        <f>AD179*(AD$1-$AF179)^2</f>
        <v>0</v>
      </c>
      <c r="BJ179">
        <f>AE179*(AE$1-$AF179)^2</f>
        <v>178.41855788566502</v>
      </c>
      <c r="BK179">
        <f>SQRT(SUM(AG179:BJ179)/SUM(B179:AE179))</f>
        <v>2.9633401187816055</v>
      </c>
      <c r="BL179">
        <f>_xlfn.FLOOR.MATH((AF179-BK179)/5)</f>
        <v>3</v>
      </c>
    </row>
    <row r="180" spans="1:64">
      <c r="A180" t="s">
        <v>453</v>
      </c>
      <c r="B180">
        <v>0</v>
      </c>
      <c r="C180">
        <v>1</v>
      </c>
      <c r="D180">
        <v>6</v>
      </c>
      <c r="E180">
        <v>27</v>
      </c>
      <c r="F180">
        <v>63</v>
      </c>
      <c r="G180">
        <v>149</v>
      </c>
      <c r="H180">
        <v>155</v>
      </c>
      <c r="I180">
        <v>157</v>
      </c>
      <c r="J180">
        <v>99</v>
      </c>
      <c r="K180">
        <v>93</v>
      </c>
      <c r="L180">
        <v>100</v>
      </c>
      <c r="M180">
        <v>110</v>
      </c>
      <c r="N180">
        <v>96</v>
      </c>
      <c r="O180">
        <v>89</v>
      </c>
      <c r="P180">
        <v>81</v>
      </c>
      <c r="Q180">
        <v>91</v>
      </c>
      <c r="R180">
        <v>94</v>
      </c>
      <c r="S180">
        <v>63</v>
      </c>
      <c r="T180">
        <v>59</v>
      </c>
      <c r="U180">
        <v>42</v>
      </c>
      <c r="V180">
        <v>30</v>
      </c>
      <c r="W180">
        <v>18</v>
      </c>
      <c r="X180">
        <v>19</v>
      </c>
      <c r="Y180">
        <v>9</v>
      </c>
      <c r="Z180">
        <v>6</v>
      </c>
      <c r="AA180">
        <v>9</v>
      </c>
      <c r="AB180">
        <v>3</v>
      </c>
      <c r="AC180">
        <v>2</v>
      </c>
      <c r="AD180">
        <v>2</v>
      </c>
      <c r="AE180">
        <v>3</v>
      </c>
      <c r="AF180">
        <f>SUMPRODUCT($B$1:$AE$1,B180:AE180)/SUM(B180:AE180)</f>
        <v>12.007756563245824</v>
      </c>
      <c r="AG180">
        <f>B180*(B$1-$AF180)^2</f>
        <v>0</v>
      </c>
      <c r="AH180">
        <f>C180*(C$1-$AF180)^2</f>
        <v>100.15519142918987</v>
      </c>
      <c r="AI180">
        <f>D180*(D$1-$AF180)^2</f>
        <v>486.83806981618932</v>
      </c>
      <c r="AJ180">
        <f>E180*(E$1-$AF180)^2</f>
        <v>1731.3524597575774</v>
      </c>
      <c r="AK180">
        <f>F180*(F$1-$AF180)^2</f>
        <v>3093.8450791320402</v>
      </c>
      <c r="AL180">
        <f>G180*(G$1-$AF180)^2</f>
        <v>5377.8776995602675</v>
      </c>
      <c r="AM180">
        <f>H180*(H$1-$AF180)^2</f>
        <v>3887.0319984934017</v>
      </c>
      <c r="AN180">
        <f>I180*(I$1-$AF180)^2</f>
        <v>2521.7516892276763</v>
      </c>
      <c r="AO180">
        <f>J180*(J$1-$AF180)^2</f>
        <v>895.61335483108473</v>
      </c>
      <c r="AP180">
        <f>K180*(K$1-$AF180)^2</f>
        <v>374.89103680487142</v>
      </c>
      <c r="AQ180">
        <f>L180*(L$1-$AF180)^2</f>
        <v>101.55732907650341</v>
      </c>
      <c r="AR180">
        <f>M180*(M$1-$AF180)^2</f>
        <v>6.6180700725112047E-3</v>
      </c>
      <c r="AS180">
        <f>N180*(N$1-$AF180)^2</f>
        <v>94.516515627046928</v>
      </c>
      <c r="AT180">
        <f>O180*(O$1-$AF180)^2</f>
        <v>353.24401810481811</v>
      </c>
      <c r="AU180">
        <f>P180*(P$1-$AF180)^2</f>
        <v>725.23518356867396</v>
      </c>
      <c r="AV180">
        <f>Q180*(Q$1-$AF180)^2</f>
        <v>1450.3586969059186</v>
      </c>
      <c r="AW180">
        <f>R180*(R$1-$AF180)^2</f>
        <v>2342.7144859906239</v>
      </c>
      <c r="AX180">
        <f>S180*(S$1-$AF180)^2</f>
        <v>2262.1398285353803</v>
      </c>
      <c r="AY180">
        <f>T180*(T$1-$AF180)^2</f>
        <v>2884.5966284510791</v>
      </c>
      <c r="AZ180">
        <f>U180*(U$1-$AF180)^2</f>
        <v>2682.7901163982888</v>
      </c>
      <c r="BA180">
        <f>V180*(V$1-$AF180)^2</f>
        <v>2425.8132607754569</v>
      </c>
      <c r="BB180">
        <f>W180*(W$1-$AF180)^2</f>
        <v>1797.2087201884244</v>
      </c>
      <c r="BC180">
        <f>X180*(X$1-$AF180)^2</f>
        <v>2295.7588996844402</v>
      </c>
      <c r="BD180">
        <f>Y180*(Y$1-$AF180)^2</f>
        <v>1294.3251238173625</v>
      </c>
      <c r="BE180">
        <f>Z180*(Z$1-$AF180)^2</f>
        <v>1012.7903371192917</v>
      </c>
      <c r="BF180">
        <f>AA180*(AA$1-$AF180)^2</f>
        <v>1762.0458875405129</v>
      </c>
      <c r="BG180">
        <f>AB180*(AB$1-$AF180)^2</f>
        <v>674.30208980069608</v>
      </c>
      <c r="BH180">
        <f>AC180*(AC$1-$AF180)^2</f>
        <v>511.50370028081403</v>
      </c>
      <c r="BI180">
        <f>AD180*(AD$1-$AF180)^2</f>
        <v>577.47267402783075</v>
      </c>
      <c r="BJ180">
        <f>AE180*(AE$1-$AF180)^2</f>
        <v>971.16247166227117</v>
      </c>
      <c r="BK180">
        <f>SQRT(SUM(AG180:BJ180)/SUM(B180:AE180))</f>
        <v>5.1637216212060997</v>
      </c>
      <c r="BL180">
        <f>_xlfn.FLOOR.MATH((AF180-BK180)/5)</f>
        <v>1</v>
      </c>
    </row>
    <row r="181" spans="1:64">
      <c r="A181" t="s">
        <v>454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3</v>
      </c>
      <c r="P181">
        <v>5</v>
      </c>
      <c r="Q181">
        <v>5</v>
      </c>
      <c r="R181">
        <v>13</v>
      </c>
      <c r="S181">
        <v>7</v>
      </c>
      <c r="T181">
        <v>12</v>
      </c>
      <c r="U181">
        <v>10</v>
      </c>
      <c r="V181">
        <v>14</v>
      </c>
      <c r="W181">
        <v>21</v>
      </c>
      <c r="X181">
        <v>12</v>
      </c>
      <c r="Y181">
        <v>6</v>
      </c>
      <c r="Z181">
        <v>4</v>
      </c>
      <c r="AA181">
        <v>11</v>
      </c>
      <c r="AB181">
        <v>3</v>
      </c>
      <c r="AC181">
        <v>0</v>
      </c>
      <c r="AD181">
        <v>1</v>
      </c>
      <c r="AE181">
        <v>1</v>
      </c>
      <c r="AF181">
        <f>SUMPRODUCT($B$1:$AE$1,B181:AE181)/SUM(B181:AE181)</f>
        <v>20.890625</v>
      </c>
      <c r="AG181">
        <f>B181*(B$1-$AF181)^2</f>
        <v>0</v>
      </c>
      <c r="AH181">
        <f>C181*(C$1-$AF181)^2</f>
        <v>0</v>
      </c>
      <c r="AI181">
        <f>D181*(D$1-$AF181)^2</f>
        <v>0</v>
      </c>
      <c r="AJ181">
        <f>E181*(E$1-$AF181)^2</f>
        <v>0</v>
      </c>
      <c r="AK181">
        <f>F181*(F$1-$AF181)^2</f>
        <v>0</v>
      </c>
      <c r="AL181">
        <f>G181*(G$1-$AF181)^2</f>
        <v>0</v>
      </c>
      <c r="AM181">
        <f>H181*(H$1-$AF181)^2</f>
        <v>0</v>
      </c>
      <c r="AN181">
        <f>I181*(I$1-$AF181)^2</f>
        <v>0</v>
      </c>
      <c r="AO181">
        <f>J181*(J$1-$AF181)^2</f>
        <v>0</v>
      </c>
      <c r="AP181">
        <f>K181*(K$1-$AF181)^2</f>
        <v>0</v>
      </c>
      <c r="AQ181">
        <f>L181*(L$1-$AF181)^2</f>
        <v>0</v>
      </c>
      <c r="AR181">
        <f>M181*(M$1-$AF181)^2</f>
        <v>0</v>
      </c>
      <c r="AS181">
        <f>N181*(N$1-$AF181)^2</f>
        <v>0</v>
      </c>
      <c r="AT181">
        <f>O181*(O$1-$AF181)^2</f>
        <v>142.442138671875</v>
      </c>
      <c r="AU181">
        <f>P181*(P$1-$AF181)^2</f>
        <v>173.497314453125</v>
      </c>
      <c r="AV181">
        <f>Q181*(Q$1-$AF181)^2</f>
        <v>119.591064453125</v>
      </c>
      <c r="AW181">
        <f>R181*(R$1-$AF181)^2</f>
        <v>196.780517578125</v>
      </c>
      <c r="AX181">
        <f>S181*(S$1-$AF181)^2</f>
        <v>58.489990234375</v>
      </c>
      <c r="AY181">
        <f>T181*(T$1-$AF181)^2</f>
        <v>42.8935546875</v>
      </c>
      <c r="AZ181">
        <f>U181*(U$1-$AF181)^2</f>
        <v>7.93212890625</v>
      </c>
      <c r="BA181">
        <f>V181*(V$1-$AF181)^2</f>
        <v>0.16748046875</v>
      </c>
      <c r="BB181">
        <f>W181*(W$1-$AF181)^2</f>
        <v>25.844970703125</v>
      </c>
      <c r="BC181">
        <f>X181*(X$1-$AF181)^2</f>
        <v>53.3935546875</v>
      </c>
      <c r="BD181">
        <f>Y181*(Y$1-$AF181)^2</f>
        <v>58.00927734375</v>
      </c>
      <c r="BE181">
        <f>Z181*(Z$1-$AF181)^2</f>
        <v>67.5478515625</v>
      </c>
      <c r="BF181">
        <f>AA181*(AA$1-$AF181)^2</f>
        <v>287.162841796875</v>
      </c>
      <c r="BG181">
        <f>AB181*(AB$1-$AF181)^2</f>
        <v>111.973388671875</v>
      </c>
      <c r="BH181">
        <f>AC181*(AC$1-$AF181)^2</f>
        <v>0</v>
      </c>
      <c r="BI181">
        <f>AD181*(AD$1-$AF181)^2</f>
        <v>65.761962890625</v>
      </c>
      <c r="BJ181">
        <f>AE181*(AE$1-$AF181)^2</f>
        <v>82.980712890625</v>
      </c>
      <c r="BK181">
        <f>SQRT(SUM(AG181:BJ181)/SUM(B181:AE181))</f>
        <v>3.4169485084465347</v>
      </c>
      <c r="BL181">
        <f>_xlfn.FLOOR.MATH((AF181-BK181)/5)</f>
        <v>3</v>
      </c>
    </row>
    <row r="182" spans="1:64">
      <c r="A182" t="s">
        <v>455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2</v>
      </c>
      <c r="V182">
        <v>0</v>
      </c>
      <c r="W182">
        <v>1</v>
      </c>
      <c r="X182">
        <v>5</v>
      </c>
      <c r="Y182">
        <v>11</v>
      </c>
      <c r="Z182">
        <v>6</v>
      </c>
      <c r="AA182">
        <v>4</v>
      </c>
      <c r="AB182">
        <v>3</v>
      </c>
      <c r="AC182">
        <v>1</v>
      </c>
      <c r="AD182">
        <v>1</v>
      </c>
      <c r="AE182">
        <v>1</v>
      </c>
      <c r="AF182">
        <f>SUMPRODUCT($B$1:$AE$1,B182:AE182)/SUM(B182:AE182)</f>
        <v>24.416666666666668</v>
      </c>
      <c r="AG182">
        <f>B182*(B$1-$AF182)^2</f>
        <v>0</v>
      </c>
      <c r="AH182">
        <f>C182*(C$1-$AF182)^2</f>
        <v>0</v>
      </c>
      <c r="AI182">
        <f>D182*(D$1-$AF182)^2</f>
        <v>0</v>
      </c>
      <c r="AJ182">
        <f>E182*(E$1-$AF182)^2</f>
        <v>0</v>
      </c>
      <c r="AK182">
        <f>F182*(F$1-$AF182)^2</f>
        <v>0</v>
      </c>
      <c r="AL182">
        <f>G182*(G$1-$AF182)^2</f>
        <v>0</v>
      </c>
      <c r="AM182">
        <f>H182*(H$1-$AF182)^2</f>
        <v>0</v>
      </c>
      <c r="AN182">
        <f>I182*(I$1-$AF182)^2</f>
        <v>0</v>
      </c>
      <c r="AO182">
        <f>J182*(J$1-$AF182)^2</f>
        <v>0</v>
      </c>
      <c r="AP182">
        <f>K182*(K$1-$AF182)^2</f>
        <v>0</v>
      </c>
      <c r="AQ182">
        <f>L182*(L$1-$AF182)^2</f>
        <v>0</v>
      </c>
      <c r="AR182">
        <f>M182*(M$1-$AF182)^2</f>
        <v>0</v>
      </c>
      <c r="AS182">
        <f>N182*(N$1-$AF182)^2</f>
        <v>0</v>
      </c>
      <c r="AT182">
        <f>O182*(O$1-$AF182)^2</f>
        <v>0</v>
      </c>
      <c r="AU182">
        <f>P182*(P$1-$AF182)^2</f>
        <v>0</v>
      </c>
      <c r="AV182">
        <f>Q182*(Q$1-$AF182)^2</f>
        <v>70.8402777777778</v>
      </c>
      <c r="AW182">
        <f>R182*(R$1-$AF182)^2</f>
        <v>0</v>
      </c>
      <c r="AX182">
        <f>S182*(S$1-$AF182)^2</f>
        <v>0</v>
      </c>
      <c r="AY182">
        <f>T182*(T$1-$AF182)^2</f>
        <v>0</v>
      </c>
      <c r="AZ182">
        <f>U182*(U$1-$AF182)^2</f>
        <v>39.013888888888907</v>
      </c>
      <c r="BA182">
        <f>V182*(V$1-$AF182)^2</f>
        <v>0</v>
      </c>
      <c r="BB182">
        <f>W182*(W$1-$AF182)^2</f>
        <v>5.8402777777777839</v>
      </c>
      <c r="BC182">
        <f>X182*(X$1-$AF182)^2</f>
        <v>10.034722222222239</v>
      </c>
      <c r="BD182">
        <f>Y182*(Y$1-$AF182)^2</f>
        <v>1.9097222222222332</v>
      </c>
      <c r="BE182">
        <f>Z182*(Z$1-$AF182)^2</f>
        <v>2.0416666666666585</v>
      </c>
      <c r="BF182">
        <f>AA182*(AA$1-$AF182)^2</f>
        <v>10.027777777777763</v>
      </c>
      <c r="BG182">
        <f>AB182*(AB$1-$AF182)^2</f>
        <v>20.020833333333314</v>
      </c>
      <c r="BH182">
        <f>AC182*(AC$1-$AF182)^2</f>
        <v>12.84027777777777</v>
      </c>
      <c r="BI182">
        <f>AD182*(AD$1-$AF182)^2</f>
        <v>21.006944444444432</v>
      </c>
      <c r="BJ182">
        <f>AE182*(AE$1-$AF182)^2</f>
        <v>31.173611111111097</v>
      </c>
      <c r="BK182">
        <f>SQRT(SUM(AG182:BJ182)/SUM(B182:AE182))</f>
        <v>2.4986107250941583</v>
      </c>
      <c r="BL182">
        <f>_xlfn.FLOOR.MATH((AF182-BK182)/5)</f>
        <v>4</v>
      </c>
    </row>
    <row r="183" spans="1:64">
      <c r="A183" t="s">
        <v>456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0</v>
      </c>
      <c r="R183">
        <v>9</v>
      </c>
      <c r="S183">
        <v>18</v>
      </c>
      <c r="T183">
        <v>19</v>
      </c>
      <c r="U183">
        <v>12</v>
      </c>
      <c r="V183">
        <v>12</v>
      </c>
      <c r="W183">
        <v>7</v>
      </c>
      <c r="X183">
        <v>3</v>
      </c>
      <c r="Y183">
        <v>2</v>
      </c>
      <c r="Z183">
        <v>4</v>
      </c>
      <c r="AA183">
        <v>1</v>
      </c>
      <c r="AB183">
        <v>2</v>
      </c>
      <c r="AC183">
        <v>0</v>
      </c>
      <c r="AD183">
        <v>0</v>
      </c>
      <c r="AE183">
        <v>0</v>
      </c>
      <c r="AF183">
        <f>SUMPRODUCT($B$1:$AE$1,B183:AE183)/SUM(B183:AE183)</f>
        <v>19.944444444444443</v>
      </c>
      <c r="AG183">
        <f>B183*(B$1-$AF183)^2</f>
        <v>0</v>
      </c>
      <c r="AH183">
        <f>C183*(C$1-$AF183)^2</f>
        <v>0</v>
      </c>
      <c r="AI183">
        <f>D183*(D$1-$AF183)^2</f>
        <v>0</v>
      </c>
      <c r="AJ183">
        <f>E183*(E$1-$AF183)^2</f>
        <v>0</v>
      </c>
      <c r="AK183">
        <f>F183*(F$1-$AF183)^2</f>
        <v>0</v>
      </c>
      <c r="AL183">
        <f>G183*(G$1-$AF183)^2</f>
        <v>0</v>
      </c>
      <c r="AM183">
        <f>H183*(H$1-$AF183)^2</f>
        <v>0</v>
      </c>
      <c r="AN183">
        <f>I183*(I$1-$AF183)^2</f>
        <v>0</v>
      </c>
      <c r="AO183">
        <f>J183*(J$1-$AF183)^2</f>
        <v>0</v>
      </c>
      <c r="AP183">
        <f>K183*(K$1-$AF183)^2</f>
        <v>0</v>
      </c>
      <c r="AQ183">
        <f>L183*(L$1-$AF183)^2</f>
        <v>0</v>
      </c>
      <c r="AR183">
        <f>M183*(M$1-$AF183)^2</f>
        <v>0</v>
      </c>
      <c r="AS183">
        <f>N183*(N$1-$AF183)^2</f>
        <v>0</v>
      </c>
      <c r="AT183">
        <f>O183*(O$1-$AF183)^2</f>
        <v>35.336419753086403</v>
      </c>
      <c r="AU183">
        <f>P183*(P$1-$AF183)^2</f>
        <v>0</v>
      </c>
      <c r="AV183">
        <f>Q183*(Q$1-$AF183)^2</f>
        <v>0</v>
      </c>
      <c r="AW183">
        <f>R183*(R$1-$AF183)^2</f>
        <v>78.0277777777777</v>
      </c>
      <c r="AX183">
        <f>S183*(S$1-$AF183)^2</f>
        <v>68.055555555555443</v>
      </c>
      <c r="AY183">
        <f>T183*(T$1-$AF183)^2</f>
        <v>16.947530864197475</v>
      </c>
      <c r="AZ183">
        <f>U183*(U$1-$AF183)^2</f>
        <v>3.7037037037039144E-2</v>
      </c>
      <c r="BA183">
        <f>V183*(V$1-$AF183)^2</f>
        <v>13.370370370370411</v>
      </c>
      <c r="BB183">
        <f>W183*(W$1-$AF183)^2</f>
        <v>29.577160493827204</v>
      </c>
      <c r="BC183">
        <f>X183*(X$1-$AF183)^2</f>
        <v>28.009259259259288</v>
      </c>
      <c r="BD183">
        <f>Y183*(Y$1-$AF183)^2</f>
        <v>32.895061728395085</v>
      </c>
      <c r="BE183">
        <f>Z183*(Z$1-$AF183)^2</f>
        <v>102.23456790123463</v>
      </c>
      <c r="BF183">
        <f>AA183*(AA$1-$AF183)^2</f>
        <v>36.669753086419774</v>
      </c>
      <c r="BG183">
        <f>AB183*(AB$1-$AF183)^2</f>
        <v>99.561728395061778</v>
      </c>
      <c r="BH183">
        <f>AC183*(AC$1-$AF183)^2</f>
        <v>0</v>
      </c>
      <c r="BI183">
        <f>AD183*(AD$1-$AF183)^2</f>
        <v>0</v>
      </c>
      <c r="BJ183">
        <f>AE183*(AE$1-$AF183)^2</f>
        <v>0</v>
      </c>
      <c r="BK183">
        <f>SQRT(SUM(AG183:BJ183)/SUM(B183:AE183))</f>
        <v>2.4511272287170298</v>
      </c>
      <c r="BL183">
        <f>_xlfn.FLOOR.MATH((AF183-BK183)/5)</f>
        <v>3</v>
      </c>
    </row>
    <row r="184" spans="1:64">
      <c r="A184" t="s">
        <v>457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1</v>
      </c>
      <c r="O184">
        <v>0</v>
      </c>
      <c r="P184">
        <v>0</v>
      </c>
      <c r="Q184">
        <v>0</v>
      </c>
      <c r="R184">
        <v>1</v>
      </c>
      <c r="S184">
        <v>2</v>
      </c>
      <c r="T184">
        <v>8</v>
      </c>
      <c r="U184">
        <v>6</v>
      </c>
      <c r="V184">
        <v>19</v>
      </c>
      <c r="W184">
        <v>22</v>
      </c>
      <c r="X184">
        <v>12</v>
      </c>
      <c r="Y184">
        <v>13</v>
      </c>
      <c r="Z184">
        <v>4</v>
      </c>
      <c r="AA184">
        <v>11</v>
      </c>
      <c r="AB184">
        <v>5</v>
      </c>
      <c r="AC184">
        <v>0</v>
      </c>
      <c r="AD184">
        <v>1</v>
      </c>
      <c r="AE184">
        <v>0</v>
      </c>
      <c r="AF184">
        <f>SUMPRODUCT($B$1:$AE$1,B184:AE184)/SUM(B184:AE184)</f>
        <v>22.349056603773583</v>
      </c>
      <c r="AG184">
        <f>B184*(B$1-$AF184)^2</f>
        <v>0</v>
      </c>
      <c r="AH184">
        <f>C184*(C$1-$AF184)^2</f>
        <v>0</v>
      </c>
      <c r="AI184">
        <f>D184*(D$1-$AF184)^2</f>
        <v>0</v>
      </c>
      <c r="AJ184">
        <f>E184*(E$1-$AF184)^2</f>
        <v>0</v>
      </c>
      <c r="AK184">
        <f>F184*(F$1-$AF184)^2</f>
        <v>0</v>
      </c>
      <c r="AL184">
        <f>G184*(G$1-$AF184)^2</f>
        <v>0</v>
      </c>
      <c r="AM184">
        <f>H184*(H$1-$AF184)^2</f>
        <v>0</v>
      </c>
      <c r="AN184">
        <f>I184*(I$1-$AF184)^2</f>
        <v>0</v>
      </c>
      <c r="AO184">
        <f>J184*(J$1-$AF184)^2</f>
        <v>0</v>
      </c>
      <c r="AP184">
        <f>K184*(K$1-$AF184)^2</f>
        <v>152.49919900320396</v>
      </c>
      <c r="AQ184">
        <f>L184*(L$1-$AF184)^2</f>
        <v>0</v>
      </c>
      <c r="AR184">
        <f>M184*(M$1-$AF184)^2</f>
        <v>0</v>
      </c>
      <c r="AS184">
        <f>N184*(N$1-$AF184)^2</f>
        <v>87.404859380562442</v>
      </c>
      <c r="AT184">
        <f>O184*(O$1-$AF184)^2</f>
        <v>0</v>
      </c>
      <c r="AU184">
        <f>P184*(P$1-$AF184)^2</f>
        <v>0</v>
      </c>
      <c r="AV184">
        <f>Q184*(Q$1-$AF184)^2</f>
        <v>0</v>
      </c>
      <c r="AW184">
        <f>R184*(R$1-$AF184)^2</f>
        <v>28.61240655037378</v>
      </c>
      <c r="AX184">
        <f>S184*(S$1-$AF184)^2</f>
        <v>37.828586685653228</v>
      </c>
      <c r="AY184">
        <f>T184*(T$1-$AF184)^2</f>
        <v>89.729441082235581</v>
      </c>
      <c r="AZ184">
        <f>U184*(U$1-$AF184)^2</f>
        <v>33.108401566393681</v>
      </c>
      <c r="BA184">
        <f>V184*(V$1-$AF184)^2</f>
        <v>34.579120683517175</v>
      </c>
      <c r="BB184">
        <f>W184*(W$1-$AF184)^2</f>
        <v>2.6804912780348613</v>
      </c>
      <c r="BC184">
        <f>X184*(X$1-$AF184)^2</f>
        <v>5.0847276610893823</v>
      </c>
      <c r="BD184">
        <f>Y184*(Y$1-$AF184)^2</f>
        <v>35.432983268067005</v>
      </c>
      <c r="BE184">
        <f>Z184*(Z$1-$AF184)^2</f>
        <v>28.110003559985795</v>
      </c>
      <c r="BF184">
        <f>AA184*(AA$1-$AF184)^2</f>
        <v>146.62326450694212</v>
      </c>
      <c r="BG184">
        <f>AB184*(AB$1-$AF184)^2</f>
        <v>108.15637237451058</v>
      </c>
      <c r="BH184">
        <f>AC184*(AC$1-$AF184)^2</f>
        <v>0</v>
      </c>
      <c r="BI184">
        <f>AD184*(AD$1-$AF184)^2</f>
        <v>44.235048059807781</v>
      </c>
      <c r="BJ184">
        <f>AE184*(AE$1-$AF184)^2</f>
        <v>0</v>
      </c>
      <c r="BK184">
        <f>SQRT(SUM(AG184:BJ184)/SUM(B184:AE184))</f>
        <v>2.8051248680046137</v>
      </c>
      <c r="BL184">
        <f>_xlfn.FLOOR.MATH((AF184-BK184)/5)</f>
        <v>3</v>
      </c>
    </row>
    <row r="185" spans="1:64">
      <c r="A185" t="s">
        <v>458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5</v>
      </c>
      <c r="V185">
        <v>1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0</v>
      </c>
      <c r="AC185">
        <v>0</v>
      </c>
      <c r="AD185">
        <v>0</v>
      </c>
      <c r="AE185">
        <v>0</v>
      </c>
      <c r="AF185">
        <f>SUMPRODUCT($B$1:$AE$1,B185:AE185)/SUM(B185:AE185)</f>
        <v>21</v>
      </c>
      <c r="AG185">
        <f>B185*(B$1-$AF185)^2</f>
        <v>0</v>
      </c>
      <c r="AH185">
        <f>C185*(C$1-$AF185)^2</f>
        <v>0</v>
      </c>
      <c r="AI185">
        <f>D185*(D$1-$AF185)^2</f>
        <v>0</v>
      </c>
      <c r="AJ185">
        <f>E185*(E$1-$AF185)^2</f>
        <v>0</v>
      </c>
      <c r="AK185">
        <f>F185*(F$1-$AF185)^2</f>
        <v>0</v>
      </c>
      <c r="AL185">
        <f>G185*(G$1-$AF185)^2</f>
        <v>0</v>
      </c>
      <c r="AM185">
        <f>H185*(H$1-$AF185)^2</f>
        <v>0</v>
      </c>
      <c r="AN185">
        <f>I185*(I$1-$AF185)^2</f>
        <v>0</v>
      </c>
      <c r="AO185">
        <f>J185*(J$1-$AF185)^2</f>
        <v>0</v>
      </c>
      <c r="AP185">
        <f>K185*(K$1-$AF185)^2</f>
        <v>0</v>
      </c>
      <c r="AQ185">
        <f>L185*(L$1-$AF185)^2</f>
        <v>0</v>
      </c>
      <c r="AR185">
        <f>M185*(M$1-$AF185)^2</f>
        <v>0</v>
      </c>
      <c r="AS185">
        <f>N185*(N$1-$AF185)^2</f>
        <v>0</v>
      </c>
      <c r="AT185">
        <f>O185*(O$1-$AF185)^2</f>
        <v>0</v>
      </c>
      <c r="AU185">
        <f>P185*(P$1-$AF185)^2</f>
        <v>0</v>
      </c>
      <c r="AV185">
        <f>Q185*(Q$1-$AF185)^2</f>
        <v>0</v>
      </c>
      <c r="AW185">
        <f>R185*(R$1-$AF185)^2</f>
        <v>0</v>
      </c>
      <c r="AX185">
        <f>S185*(S$1-$AF185)^2</f>
        <v>0</v>
      </c>
      <c r="AY185">
        <f>T185*(T$1-$AF185)^2</f>
        <v>0</v>
      </c>
      <c r="AZ185">
        <f>U185*(U$1-$AF185)^2</f>
        <v>5</v>
      </c>
      <c r="BA185">
        <f>V185*(V$1-$AF185)^2</f>
        <v>0</v>
      </c>
      <c r="BB185">
        <f>W185*(W$1-$AF185)^2</f>
        <v>0</v>
      </c>
      <c r="BC185">
        <f>X185*(X$1-$AF185)^2</f>
        <v>0</v>
      </c>
      <c r="BD185">
        <f>Y185*(Y$1-$AF185)^2</f>
        <v>0</v>
      </c>
      <c r="BE185">
        <f>Z185*(Z$1-$AF185)^2</f>
        <v>0</v>
      </c>
      <c r="BF185">
        <f>AA185*(AA$1-$AF185)^2</f>
        <v>25</v>
      </c>
      <c r="BG185">
        <f>AB185*(AB$1-$AF185)^2</f>
        <v>0</v>
      </c>
      <c r="BH185">
        <f>AC185*(AC$1-$AF185)^2</f>
        <v>0</v>
      </c>
      <c r="BI185">
        <f>AD185*(AD$1-$AF185)^2</f>
        <v>0</v>
      </c>
      <c r="BJ185">
        <f>AE185*(AE$1-$AF185)^2</f>
        <v>0</v>
      </c>
      <c r="BK185">
        <f>SQRT(SUM(AG185:BJ185)/SUM(B185:AE185))</f>
        <v>2.0701966780270626</v>
      </c>
      <c r="BL185">
        <f>_xlfn.FLOOR.MATH((AF185-BK185)/5)</f>
        <v>3</v>
      </c>
    </row>
    <row r="186" spans="1:64">
      <c r="A186" t="s">
        <v>459</v>
      </c>
      <c r="B186">
        <v>0</v>
      </c>
      <c r="C186">
        <v>0</v>
      </c>
      <c r="D186">
        <v>0</v>
      </c>
      <c r="E186">
        <v>2</v>
      </c>
      <c r="F186">
        <v>0</v>
      </c>
      <c r="G186">
        <v>5</v>
      </c>
      <c r="H186">
        <v>24</v>
      </c>
      <c r="I186">
        <v>20</v>
      </c>
      <c r="J186">
        <v>20</v>
      </c>
      <c r="K186">
        <v>22</v>
      </c>
      <c r="L186">
        <v>25</v>
      </c>
      <c r="M186">
        <v>26</v>
      </c>
      <c r="N186">
        <v>22</v>
      </c>
      <c r="O186">
        <v>23</v>
      </c>
      <c r="P186">
        <v>15</v>
      </c>
      <c r="Q186">
        <v>22</v>
      </c>
      <c r="R186">
        <v>19</v>
      </c>
      <c r="S186">
        <v>28</v>
      </c>
      <c r="T186">
        <v>11</v>
      </c>
      <c r="U186">
        <v>11</v>
      </c>
      <c r="V186">
        <v>11</v>
      </c>
      <c r="W186">
        <v>7</v>
      </c>
      <c r="X186">
        <v>7</v>
      </c>
      <c r="Y186">
        <v>4</v>
      </c>
      <c r="Z186">
        <v>3</v>
      </c>
      <c r="AA186">
        <v>8</v>
      </c>
      <c r="AB186">
        <v>6</v>
      </c>
      <c r="AC186">
        <v>0</v>
      </c>
      <c r="AD186">
        <v>0</v>
      </c>
      <c r="AE186">
        <v>1</v>
      </c>
      <c r="AF186">
        <f>SUMPRODUCT($B$1:$AE$1,B186:AE186)/SUM(B186:AE186)</f>
        <v>14.359649122807017</v>
      </c>
      <c r="AG186">
        <f>B186*(B$1-$AF186)^2</f>
        <v>0</v>
      </c>
      <c r="AH186">
        <f>C186*(C$1-$AF186)^2</f>
        <v>0</v>
      </c>
      <c r="AI186">
        <f>D186*(D$1-$AF186)^2</f>
        <v>0</v>
      </c>
      <c r="AJ186">
        <f>E186*(E$1-$AF186)^2</f>
        <v>214.64465989535239</v>
      </c>
      <c r="AK186">
        <f>F186*(F$1-$AF186)^2</f>
        <v>0</v>
      </c>
      <c r="AL186">
        <f>G186*(G$1-$AF186)^2</f>
        <v>349.41866728224062</v>
      </c>
      <c r="AM186">
        <f>H186*(H$1-$AF186)^2</f>
        <v>1299.9464450600185</v>
      </c>
      <c r="AN186">
        <f>I186*(I$1-$AF186)^2</f>
        <v>808.90273930440128</v>
      </c>
      <c r="AO186">
        <f>J186*(J$1-$AF186)^2</f>
        <v>574.51677439212051</v>
      </c>
      <c r="AP186">
        <f>K186*(K$1-$AF186)^2</f>
        <v>418.14389042782386</v>
      </c>
      <c r="AQ186">
        <f>L186*(L$1-$AF186)^2</f>
        <v>282.18105570944897</v>
      </c>
      <c r="AR186">
        <f>M186*(M$1-$AF186)^2</f>
        <v>144.76654355186204</v>
      </c>
      <c r="AS186">
        <f>N186*(N$1-$AF186)^2</f>
        <v>40.670206217297604</v>
      </c>
      <c r="AT186">
        <f>O186*(O$1-$AF186)^2</f>
        <v>2.974992305324708</v>
      </c>
      <c r="AU186">
        <f>P186*(P$1-$AF186)^2</f>
        <v>6.1507386888273405</v>
      </c>
      <c r="AV186">
        <f>Q186*(Q$1-$AF186)^2</f>
        <v>59.196522006771346</v>
      </c>
      <c r="AW186">
        <f>R186*(R$1-$AF186)^2</f>
        <v>132.45760233918134</v>
      </c>
      <c r="AX186">
        <f>S186*(S$1-$AF186)^2</f>
        <v>371.06032625423217</v>
      </c>
      <c r="AY186">
        <f>T186*(T$1-$AF186)^2</f>
        <v>236.86141889812254</v>
      </c>
      <c r="AZ186">
        <f>U186*(U$1-$AF186)^2</f>
        <v>349.94913819636815</v>
      </c>
      <c r="BA186">
        <f>V186*(V$1-$AF186)^2</f>
        <v>485.03685749461386</v>
      </c>
      <c r="BB186">
        <f>W186*(W$1-$AF186)^2</f>
        <v>408.62473068636513</v>
      </c>
      <c r="BC186">
        <f>X186*(X$1-$AF186)^2</f>
        <v>522.58964296706688</v>
      </c>
      <c r="BD186">
        <f>Y186*(Y$1-$AF186)^2</f>
        <v>371.74546014158204</v>
      </c>
      <c r="BE186">
        <f>Z186*(Z$1-$AF186)^2</f>
        <v>339.65120036934445</v>
      </c>
      <c r="BF186">
        <f>AA186*(AA$1-$AF186)^2</f>
        <v>1083.9821483533397</v>
      </c>
      <c r="BG186">
        <f>AB186*(AB$1-$AF186)^2</f>
        <v>958.67082179132035</v>
      </c>
      <c r="BH186">
        <f>AC186*(AC$1-$AF186)^2</f>
        <v>0</v>
      </c>
      <c r="BI186">
        <f>AD186*(AD$1-$AF186)^2</f>
        <v>0</v>
      </c>
      <c r="BJ186">
        <f>AE186*(AE$1-$AF186)^2</f>
        <v>244.62057556171132</v>
      </c>
      <c r="BK186">
        <f>SQRT(SUM(AG186:BJ186)/SUM(B186:AE186))</f>
        <v>5.3275086499129118</v>
      </c>
      <c r="BL186">
        <f>_xlfn.FLOOR.MATH((AF186-BK186)/5)</f>
        <v>1</v>
      </c>
    </row>
    <row r="187" spans="1:64">
      <c r="A187" t="s">
        <v>460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1</v>
      </c>
      <c r="L187">
        <v>2</v>
      </c>
      <c r="M187">
        <v>0</v>
      </c>
      <c r="N187">
        <v>0</v>
      </c>
      <c r="O187">
        <v>0</v>
      </c>
      <c r="P187">
        <v>1</v>
      </c>
      <c r="Q187">
        <v>3</v>
      </c>
      <c r="R187">
        <v>0</v>
      </c>
      <c r="S187">
        <v>0</v>
      </c>
      <c r="T187">
        <v>0</v>
      </c>
      <c r="U187">
        <v>1</v>
      </c>
      <c r="V187">
        <v>2</v>
      </c>
      <c r="W187">
        <v>2</v>
      </c>
      <c r="X187">
        <v>1</v>
      </c>
      <c r="Y187">
        <v>0</v>
      </c>
      <c r="Z187">
        <v>1</v>
      </c>
      <c r="AA187">
        <v>0</v>
      </c>
      <c r="AB187">
        <v>1</v>
      </c>
      <c r="AC187">
        <v>0</v>
      </c>
      <c r="AD187">
        <v>0</v>
      </c>
      <c r="AE187">
        <v>0</v>
      </c>
      <c r="AF187">
        <f>SUMPRODUCT($B$1:$AE$1,B187:AE187)/SUM(B187:AE187)</f>
        <v>17.6875</v>
      </c>
      <c r="AG187">
        <f>B187*(B$1-$AF187)^2</f>
        <v>0</v>
      </c>
      <c r="AH187">
        <f>C187*(C$1-$AF187)^2</f>
        <v>0</v>
      </c>
      <c r="AI187">
        <f>D187*(D$1-$AF187)^2</f>
        <v>0</v>
      </c>
      <c r="AJ187">
        <f>E187*(E$1-$AF187)^2</f>
        <v>0</v>
      </c>
      <c r="AK187">
        <f>F187*(F$1-$AF187)^2</f>
        <v>0</v>
      </c>
      <c r="AL187">
        <f>G187*(G$1-$AF187)^2</f>
        <v>0</v>
      </c>
      <c r="AM187">
        <f>H187*(H$1-$AF187)^2</f>
        <v>114.22265625</v>
      </c>
      <c r="AN187">
        <f>I187*(I$1-$AF187)^2</f>
        <v>0</v>
      </c>
      <c r="AO187">
        <f>J187*(J$1-$AF187)^2</f>
        <v>0</v>
      </c>
      <c r="AP187">
        <f>K187*(K$1-$AF187)^2</f>
        <v>59.09765625</v>
      </c>
      <c r="AQ187">
        <f>L187*(L$1-$AF187)^2</f>
        <v>89.4453125</v>
      </c>
      <c r="AR187">
        <f>M187*(M$1-$AF187)^2</f>
        <v>0</v>
      </c>
      <c r="AS187">
        <f>N187*(N$1-$AF187)^2</f>
        <v>0</v>
      </c>
      <c r="AT187">
        <f>O187*(O$1-$AF187)^2</f>
        <v>0</v>
      </c>
      <c r="AU187">
        <f>P187*(P$1-$AF187)^2</f>
        <v>7.22265625</v>
      </c>
      <c r="AV187">
        <f>Q187*(Q$1-$AF187)^2</f>
        <v>8.54296875</v>
      </c>
      <c r="AW187">
        <f>R187*(R$1-$AF187)^2</f>
        <v>0</v>
      </c>
      <c r="AX187">
        <f>S187*(S$1-$AF187)^2</f>
        <v>0</v>
      </c>
      <c r="AY187">
        <f>T187*(T$1-$AF187)^2</f>
        <v>0</v>
      </c>
      <c r="AZ187">
        <f>U187*(U$1-$AF187)^2</f>
        <v>5.34765625</v>
      </c>
      <c r="BA187">
        <f>V187*(V$1-$AF187)^2</f>
        <v>21.9453125</v>
      </c>
      <c r="BB187">
        <f>W187*(W$1-$AF187)^2</f>
        <v>37.1953125</v>
      </c>
      <c r="BC187">
        <f>X187*(X$1-$AF187)^2</f>
        <v>28.22265625</v>
      </c>
      <c r="BD187">
        <f>Y187*(Y$1-$AF187)^2</f>
        <v>0</v>
      </c>
      <c r="BE187">
        <f>Z187*(Z$1-$AF187)^2</f>
        <v>53.47265625</v>
      </c>
      <c r="BF187">
        <f>AA187*(AA$1-$AF187)^2</f>
        <v>0</v>
      </c>
      <c r="BG187">
        <f>AB187*(AB$1-$AF187)^2</f>
        <v>86.72265625</v>
      </c>
      <c r="BH187">
        <f>AC187*(AC$1-$AF187)^2</f>
        <v>0</v>
      </c>
      <c r="BI187">
        <f>AD187*(AD$1-$AF187)^2</f>
        <v>0</v>
      </c>
      <c r="BJ187">
        <f>AE187*(AE$1-$AF187)^2</f>
        <v>0</v>
      </c>
      <c r="BK187">
        <f>SQRT(SUM(AG187:BJ187)/SUM(B187:AE187))</f>
        <v>5.6537459927025377</v>
      </c>
      <c r="BL187">
        <f>_xlfn.FLOOR.MATH((AF187-BK187)/5)</f>
        <v>2</v>
      </c>
    </row>
    <row r="188" spans="1:64">
      <c r="A188" t="s">
        <v>461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</v>
      </c>
      <c r="W188">
        <v>2</v>
      </c>
      <c r="X188">
        <v>0</v>
      </c>
      <c r="Y188">
        <v>1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f>SUMPRODUCT($B$1:$AE$1,B188:AE188)/SUM(B188:AE188)</f>
        <v>22.25</v>
      </c>
      <c r="AG188">
        <f>B188*(B$1-$AF188)^2</f>
        <v>0</v>
      </c>
      <c r="AH188">
        <f>C188*(C$1-$AF188)^2</f>
        <v>0</v>
      </c>
      <c r="AI188">
        <f>D188*(D$1-$AF188)^2</f>
        <v>0</v>
      </c>
      <c r="AJ188">
        <f>E188*(E$1-$AF188)^2</f>
        <v>0</v>
      </c>
      <c r="AK188">
        <f>F188*(F$1-$AF188)^2</f>
        <v>0</v>
      </c>
      <c r="AL188">
        <f>G188*(G$1-$AF188)^2</f>
        <v>0</v>
      </c>
      <c r="AM188">
        <f>H188*(H$1-$AF188)^2</f>
        <v>0</v>
      </c>
      <c r="AN188">
        <f>I188*(I$1-$AF188)^2</f>
        <v>0</v>
      </c>
      <c r="AO188">
        <f>J188*(J$1-$AF188)^2</f>
        <v>0</v>
      </c>
      <c r="AP188">
        <f>K188*(K$1-$AF188)^2</f>
        <v>0</v>
      </c>
      <c r="AQ188">
        <f>L188*(L$1-$AF188)^2</f>
        <v>0</v>
      </c>
      <c r="AR188">
        <f>M188*(M$1-$AF188)^2</f>
        <v>0</v>
      </c>
      <c r="AS188">
        <f>N188*(N$1-$AF188)^2</f>
        <v>0</v>
      </c>
      <c r="AT188">
        <f>O188*(O$1-$AF188)^2</f>
        <v>0</v>
      </c>
      <c r="AU188">
        <f>P188*(P$1-$AF188)^2</f>
        <v>0</v>
      </c>
      <c r="AV188">
        <f>Q188*(Q$1-$AF188)^2</f>
        <v>0</v>
      </c>
      <c r="AW188">
        <f>R188*(R$1-$AF188)^2</f>
        <v>0</v>
      </c>
      <c r="AX188">
        <f>S188*(S$1-$AF188)^2</f>
        <v>0</v>
      </c>
      <c r="AY188">
        <f>T188*(T$1-$AF188)^2</f>
        <v>0</v>
      </c>
      <c r="AZ188">
        <f>U188*(U$1-$AF188)^2</f>
        <v>0</v>
      </c>
      <c r="BA188">
        <f>V188*(V$1-$AF188)^2</f>
        <v>1.5625</v>
      </c>
      <c r="BB188">
        <f>W188*(W$1-$AF188)^2</f>
        <v>0.125</v>
      </c>
      <c r="BC188">
        <f>X188*(X$1-$AF188)^2</f>
        <v>0</v>
      </c>
      <c r="BD188">
        <f>Y188*(Y$1-$AF188)^2</f>
        <v>3.0625</v>
      </c>
      <c r="BE188">
        <f>Z188*(Z$1-$AF188)^2</f>
        <v>0</v>
      </c>
      <c r="BF188">
        <f>AA188*(AA$1-$AF188)^2</f>
        <v>0</v>
      </c>
      <c r="BG188">
        <f>AB188*(AB$1-$AF188)^2</f>
        <v>0</v>
      </c>
      <c r="BH188">
        <f>AC188*(AC$1-$AF188)^2</f>
        <v>0</v>
      </c>
      <c r="BI188">
        <f>AD188*(AD$1-$AF188)^2</f>
        <v>0</v>
      </c>
      <c r="BJ188">
        <f>AE188*(AE$1-$AF188)^2</f>
        <v>0</v>
      </c>
      <c r="BK188">
        <f>SQRT(SUM(AG188:BJ188)/SUM(B188:AE188))</f>
        <v>1.0897247358851685</v>
      </c>
      <c r="BL188">
        <f>_xlfn.FLOOR.MATH((AF188-BK188)/5)</f>
        <v>4</v>
      </c>
    </row>
    <row r="189" spans="1:64">
      <c r="A189" t="s">
        <v>462</v>
      </c>
      <c r="B189">
        <v>15</v>
      </c>
      <c r="C189">
        <v>45</v>
      </c>
      <c r="D189">
        <v>112</v>
      </c>
      <c r="E189">
        <v>314</v>
      </c>
      <c r="F189">
        <v>234</v>
      </c>
      <c r="G189">
        <v>163</v>
      </c>
      <c r="H189">
        <v>164</v>
      </c>
      <c r="I189">
        <v>125</v>
      </c>
      <c r="J189">
        <v>103</v>
      </c>
      <c r="K189">
        <v>101</v>
      </c>
      <c r="L189">
        <v>93</v>
      </c>
      <c r="M189">
        <v>97</v>
      </c>
      <c r="N189">
        <v>61</v>
      </c>
      <c r="O189">
        <v>55</v>
      </c>
      <c r="P189">
        <v>43</v>
      </c>
      <c r="Q189">
        <v>51</v>
      </c>
      <c r="R189">
        <v>58</v>
      </c>
      <c r="S189">
        <v>63</v>
      </c>
      <c r="T189">
        <v>64</v>
      </c>
      <c r="U189">
        <v>51</v>
      </c>
      <c r="V189">
        <v>35</v>
      </c>
      <c r="W189">
        <v>37</v>
      </c>
      <c r="X189">
        <v>39</v>
      </c>
      <c r="Y189">
        <v>15</v>
      </c>
      <c r="Z189">
        <v>16</v>
      </c>
      <c r="AA189">
        <v>15</v>
      </c>
      <c r="AB189">
        <v>13</v>
      </c>
      <c r="AC189">
        <v>1</v>
      </c>
      <c r="AD189">
        <v>1</v>
      </c>
      <c r="AE189">
        <v>3</v>
      </c>
      <c r="AF189">
        <f>SUMPRODUCT($B$1:$AE$1,B189:AE189)/SUM(B189:AE189)</f>
        <v>9.8724279835390938</v>
      </c>
      <c r="AG189">
        <f>B189*(B$1-$AF189)^2</f>
        <v>1180.7996748463138</v>
      </c>
      <c r="AH189">
        <f>C189*(C$1-$AF189)^2</f>
        <v>2788.8805060204231</v>
      </c>
      <c r="AI189">
        <f>D189*(D$1-$AF189)^2</f>
        <v>5289.7898355602956</v>
      </c>
      <c r="AJ189">
        <f>E189*(E$1-$AF189)^2</f>
        <v>10828.418872461851</v>
      </c>
      <c r="AK189">
        <f>F189*(F$1-$AF189)^2</f>
        <v>5555.2897424173125</v>
      </c>
      <c r="AL189">
        <f>G189*(G$1-$AF189)^2</f>
        <v>2444.2988534945544</v>
      </c>
      <c r="AM189">
        <f>H189*(H$1-$AF189)^2</f>
        <v>1353.1381733814283</v>
      </c>
      <c r="AN189">
        <f>I189*(I$1-$AF189)^2</f>
        <v>438.24831919253461</v>
      </c>
      <c r="AO189">
        <f>J189*(J$1-$AF189)^2</f>
        <v>78.396450405595203</v>
      </c>
      <c r="AP189">
        <f>K189*(K$1-$AF189)^2</f>
        <v>1.6437365577740743</v>
      </c>
      <c r="AQ189">
        <f>L189*(L$1-$AF189)^2</f>
        <v>118.24193466443141</v>
      </c>
      <c r="AR189">
        <f>M189*(M$1-$AF189)^2</f>
        <v>439.07658046707007</v>
      </c>
      <c r="AS189">
        <f>N189*(N$1-$AF189)^2</f>
        <v>596.68410980710962</v>
      </c>
      <c r="AT189">
        <f>O189*(O$1-$AF189)^2</f>
        <v>937.0267913089134</v>
      </c>
      <c r="AU189">
        <f>P189*(P$1-$AF189)^2</f>
        <v>1130.5557757116976</v>
      </c>
      <c r="AV189">
        <f>Q189*(Q$1-$AF189)^2</f>
        <v>1914.9040796626534</v>
      </c>
      <c r="AW189">
        <f>R189*(R$1-$AF189)^2</f>
        <v>2946.5324052905221</v>
      </c>
      <c r="AX189">
        <f>S189*(S$1-$AF189)^2</f>
        <v>4161.6178936137794</v>
      </c>
      <c r="AY189">
        <f>T189*(T$1-$AF189)^2</f>
        <v>5332.0045386035335</v>
      </c>
      <c r="AZ189">
        <f>U189*(U$1-$AF189)^2</f>
        <v>5230.953462378704</v>
      </c>
      <c r="BA189">
        <f>V189*(V$1-$AF189)^2</f>
        <v>4333.8000643533342</v>
      </c>
      <c r="BB189">
        <f>W189*(W$1-$AF189)^2</f>
        <v>5441.8861115344889</v>
      </c>
      <c r="BC189">
        <f>X189*(X$1-$AF189)^2</f>
        <v>6720.9927348473311</v>
      </c>
      <c r="BD189">
        <f>Y189*(Y$1-$AF189)^2</f>
        <v>2993.8243662043392</v>
      </c>
      <c r="BE189">
        <f>Z189*(Z$1-$AF189)^2</f>
        <v>3661.4949618113774</v>
      </c>
      <c r="BF189">
        <f>AA189*(AA$1-$AF189)^2</f>
        <v>3901.4786871919937</v>
      </c>
      <c r="BG189">
        <f>AB189*(AB$1-$AF189)^2</f>
        <v>3813.5984013277116</v>
      </c>
      <c r="BH189">
        <f>AC189*(AC$1-$AF189)^2</f>
        <v>328.60886721197653</v>
      </c>
      <c r="BI189">
        <f>AD189*(AD$1-$AF189)^2</f>
        <v>365.86401124489834</v>
      </c>
      <c r="BJ189">
        <f>AE189*(AE$1-$AF189)^2</f>
        <v>1215.3574658334605</v>
      </c>
      <c r="BK189">
        <f>SQRT(SUM(AG189:BJ189)/SUM(B189:AE189))</f>
        <v>6.2541584668660883</v>
      </c>
      <c r="BL189">
        <f>_xlfn.FLOOR.MATH((AF189-BK189)/5)</f>
        <v>0</v>
      </c>
    </row>
    <row r="190" spans="1:64">
      <c r="A190" t="s">
        <v>463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3</v>
      </c>
      <c r="S190">
        <v>10</v>
      </c>
      <c r="T190">
        <v>18</v>
      </c>
      <c r="U190">
        <v>11</v>
      </c>
      <c r="V190">
        <v>7</v>
      </c>
      <c r="W190">
        <v>15</v>
      </c>
      <c r="X190">
        <v>13</v>
      </c>
      <c r="Y190">
        <v>1</v>
      </c>
      <c r="Z190">
        <v>3</v>
      </c>
      <c r="AA190">
        <v>4</v>
      </c>
      <c r="AB190">
        <v>5</v>
      </c>
      <c r="AC190">
        <v>1</v>
      </c>
      <c r="AD190">
        <v>1</v>
      </c>
      <c r="AE190">
        <v>1</v>
      </c>
      <c r="AF190">
        <f>SUMPRODUCT($B$1:$AE$1,B190:AE190)/SUM(B190:AE190)</f>
        <v>21.382978723404257</v>
      </c>
      <c r="AG190">
        <f>B190*(B$1-$AF190)^2</f>
        <v>0</v>
      </c>
      <c r="AH190">
        <f>C190*(C$1-$AF190)^2</f>
        <v>0</v>
      </c>
      <c r="AI190">
        <f>D190*(D$1-$AF190)^2</f>
        <v>0</v>
      </c>
      <c r="AJ190">
        <f>E190*(E$1-$AF190)^2</f>
        <v>0</v>
      </c>
      <c r="AK190">
        <f>F190*(F$1-$AF190)^2</f>
        <v>0</v>
      </c>
      <c r="AL190">
        <f>G190*(G$1-$AF190)^2</f>
        <v>0</v>
      </c>
      <c r="AM190">
        <f>H190*(H$1-$AF190)^2</f>
        <v>0</v>
      </c>
      <c r="AN190">
        <f>I190*(I$1-$AF190)^2</f>
        <v>0</v>
      </c>
      <c r="AO190">
        <f>J190*(J$1-$AF190)^2</f>
        <v>0</v>
      </c>
      <c r="AP190">
        <f>K190*(K$1-$AF190)^2</f>
        <v>0</v>
      </c>
      <c r="AQ190">
        <f>L190*(L$1-$AF190)^2</f>
        <v>0</v>
      </c>
      <c r="AR190">
        <f>M190*(M$1-$AF190)^2</f>
        <v>0</v>
      </c>
      <c r="AS190">
        <f>N190*(N$1-$AF190)^2</f>
        <v>0</v>
      </c>
      <c r="AT190">
        <f>O190*(O$1-$AF190)^2</f>
        <v>0</v>
      </c>
      <c r="AU190">
        <f>P190*(P$1-$AF190)^2</f>
        <v>0</v>
      </c>
      <c r="AV190">
        <f>Q190*(Q$1-$AF190)^2</f>
        <v>28.976459936622923</v>
      </c>
      <c r="AW190">
        <f>R190*(R$1-$AF190)^2</f>
        <v>57.631507469443228</v>
      </c>
      <c r="AX190">
        <f>S190*(S$1-$AF190)^2</f>
        <v>114.44545043005895</v>
      </c>
      <c r="AY190">
        <f>T190*(T$1-$AF190)^2</f>
        <v>102.21457673155288</v>
      </c>
      <c r="AZ190">
        <f>U190*(U$1-$AF190)^2</f>
        <v>21.038931643277554</v>
      </c>
      <c r="BA190">
        <f>V190*(V$1-$AF190)^2</f>
        <v>1.0267089180624804</v>
      </c>
      <c r="BB190">
        <f>W190*(W$1-$AF190)^2</f>
        <v>5.7107288365776059</v>
      </c>
      <c r="BC190">
        <f>X190*(X$1-$AF190)^2</f>
        <v>33.991851516523248</v>
      </c>
      <c r="BD190">
        <f>Y190*(Y$1-$AF190)^2</f>
        <v>6.8488003621548126</v>
      </c>
      <c r="BE190">
        <f>Z190*(Z$1-$AF190)^2</f>
        <v>39.248528746038893</v>
      </c>
      <c r="BF190">
        <f>AA190*(AA$1-$AF190)^2</f>
        <v>85.267541874151135</v>
      </c>
      <c r="BG190">
        <f>AB190*(AB$1-$AF190)^2</f>
        <v>157.75464010864636</v>
      </c>
      <c r="BH190">
        <f>AC190*(AC$1-$AF190)^2</f>
        <v>43.784970574920756</v>
      </c>
      <c r="BI190">
        <f>AD190*(AD$1-$AF190)^2</f>
        <v>58.019013128112242</v>
      </c>
      <c r="BJ190">
        <f>AE190*(AE$1-$AF190)^2</f>
        <v>74.253055681303735</v>
      </c>
      <c r="BK190">
        <f>SQRT(SUM(AG190:BJ190)/SUM(B190:AE190))</f>
        <v>2.9718766296188956</v>
      </c>
      <c r="BL190">
        <f>_xlfn.FLOOR.MATH((AF190-BK190)/5)</f>
        <v>3</v>
      </c>
    </row>
    <row r="191" spans="1:64">
      <c r="A191" t="s">
        <v>464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2</v>
      </c>
      <c r="AB191">
        <v>3</v>
      </c>
      <c r="AC191">
        <v>0</v>
      </c>
      <c r="AD191">
        <v>0</v>
      </c>
      <c r="AE191">
        <v>0</v>
      </c>
      <c r="AF191">
        <f>SUMPRODUCT($B$1:$AE$1,B191:AE191)/SUM(B191:AE191)</f>
        <v>26.6</v>
      </c>
      <c r="AG191">
        <f>B191*(B$1-$AF191)^2</f>
        <v>0</v>
      </c>
      <c r="AH191">
        <f>C191*(C$1-$AF191)^2</f>
        <v>0</v>
      </c>
      <c r="AI191">
        <f>D191*(D$1-$AF191)^2</f>
        <v>0</v>
      </c>
      <c r="AJ191">
        <f>E191*(E$1-$AF191)^2</f>
        <v>0</v>
      </c>
      <c r="AK191">
        <f>F191*(F$1-$AF191)^2</f>
        <v>0</v>
      </c>
      <c r="AL191">
        <f>G191*(G$1-$AF191)^2</f>
        <v>0</v>
      </c>
      <c r="AM191">
        <f>H191*(H$1-$AF191)^2</f>
        <v>0</v>
      </c>
      <c r="AN191">
        <f>I191*(I$1-$AF191)^2</f>
        <v>0</v>
      </c>
      <c r="AO191">
        <f>J191*(J$1-$AF191)^2</f>
        <v>0</v>
      </c>
      <c r="AP191">
        <f>K191*(K$1-$AF191)^2</f>
        <v>0</v>
      </c>
      <c r="AQ191">
        <f>L191*(L$1-$AF191)^2</f>
        <v>0</v>
      </c>
      <c r="AR191">
        <f>M191*(M$1-$AF191)^2</f>
        <v>0</v>
      </c>
      <c r="AS191">
        <f>N191*(N$1-$AF191)^2</f>
        <v>0</v>
      </c>
      <c r="AT191">
        <f>O191*(O$1-$AF191)^2</f>
        <v>0</v>
      </c>
      <c r="AU191">
        <f>P191*(P$1-$AF191)^2</f>
        <v>0</v>
      </c>
      <c r="AV191">
        <f>Q191*(Q$1-$AF191)^2</f>
        <v>0</v>
      </c>
      <c r="AW191">
        <f>R191*(R$1-$AF191)^2</f>
        <v>0</v>
      </c>
      <c r="AX191">
        <f>S191*(S$1-$AF191)^2</f>
        <v>0</v>
      </c>
      <c r="AY191">
        <f>T191*(T$1-$AF191)^2</f>
        <v>0</v>
      </c>
      <c r="AZ191">
        <f>U191*(U$1-$AF191)^2</f>
        <v>0</v>
      </c>
      <c r="BA191">
        <f>V191*(V$1-$AF191)^2</f>
        <v>0</v>
      </c>
      <c r="BB191">
        <f>W191*(W$1-$AF191)^2</f>
        <v>0</v>
      </c>
      <c r="BC191">
        <f>X191*(X$1-$AF191)^2</f>
        <v>0</v>
      </c>
      <c r="BD191">
        <f>Y191*(Y$1-$AF191)^2</f>
        <v>0</v>
      </c>
      <c r="BE191">
        <f>Z191*(Z$1-$AF191)^2</f>
        <v>0</v>
      </c>
      <c r="BF191">
        <f>AA191*(AA$1-$AF191)^2</f>
        <v>0.72000000000000342</v>
      </c>
      <c r="BG191">
        <f>AB191*(AB$1-$AF191)^2</f>
        <v>0.4799999999999966</v>
      </c>
      <c r="BH191">
        <f>AC191*(AC$1-$AF191)^2</f>
        <v>0</v>
      </c>
      <c r="BI191">
        <f>AD191*(AD$1-$AF191)^2</f>
        <v>0</v>
      </c>
      <c r="BJ191">
        <f>AE191*(AE$1-$AF191)^2</f>
        <v>0</v>
      </c>
      <c r="BK191">
        <f>SQRT(SUM(AG191:BJ191)/SUM(B191:AE191))</f>
        <v>0.4898979485566356</v>
      </c>
      <c r="BL191">
        <f>_xlfn.FLOOR.MATH((AF191-BK191)/5)</f>
        <v>5</v>
      </c>
    </row>
    <row r="192" spans="1:64">
      <c r="A192" t="s">
        <v>465</v>
      </c>
      <c r="B192">
        <v>0</v>
      </c>
      <c r="C192">
        <v>0</v>
      </c>
      <c r="D192">
        <v>0</v>
      </c>
      <c r="E192">
        <v>0</v>
      </c>
      <c r="F192">
        <v>1</v>
      </c>
      <c r="G192">
        <v>1</v>
      </c>
      <c r="H192">
        <v>2</v>
      </c>
      <c r="I192">
        <v>3</v>
      </c>
      <c r="J192">
        <v>3</v>
      </c>
      <c r="K192">
        <v>6</v>
      </c>
      <c r="L192">
        <v>14</v>
      </c>
      <c r="M192">
        <v>9</v>
      </c>
      <c r="N192">
        <v>25</v>
      </c>
      <c r="O192">
        <v>18</v>
      </c>
      <c r="P192">
        <v>22</v>
      </c>
      <c r="Q192">
        <v>21</v>
      </c>
      <c r="R192">
        <v>31</v>
      </c>
      <c r="S192">
        <v>31</v>
      </c>
      <c r="T192">
        <v>55</v>
      </c>
      <c r="U192">
        <v>38</v>
      </c>
      <c r="V192">
        <v>35</v>
      </c>
      <c r="W192">
        <v>27</v>
      </c>
      <c r="X192">
        <v>35</v>
      </c>
      <c r="Y192">
        <v>19</v>
      </c>
      <c r="Z192">
        <v>12</v>
      </c>
      <c r="AA192">
        <v>8</v>
      </c>
      <c r="AB192">
        <v>17</v>
      </c>
      <c r="AC192">
        <v>4</v>
      </c>
      <c r="AD192">
        <v>1</v>
      </c>
      <c r="AE192">
        <v>3</v>
      </c>
      <c r="AF192">
        <f>SUMPRODUCT($B$1:$AE$1,B192:AE192)/SUM(B192:AE192)</f>
        <v>18.863945578231291</v>
      </c>
      <c r="AG192">
        <f>B192*(B$1-$AF192)^2</f>
        <v>0</v>
      </c>
      <c r="AH192">
        <f>C192*(C$1-$AF192)^2</f>
        <v>0</v>
      </c>
      <c r="AI192">
        <f>D192*(D$1-$AF192)^2</f>
        <v>0</v>
      </c>
      <c r="AJ192">
        <f>E192*(E$1-$AF192)^2</f>
        <v>0</v>
      </c>
      <c r="AK192">
        <f>F192*(F$1-$AF192)^2</f>
        <v>192.20898699615898</v>
      </c>
      <c r="AL192">
        <f>G192*(G$1-$AF192)^2</f>
        <v>165.48109583969639</v>
      </c>
      <c r="AM192">
        <f>H192*(H$1-$AF192)^2</f>
        <v>281.50640936646761</v>
      </c>
      <c r="AN192">
        <f>I192*(I$1-$AF192)^2</f>
        <v>354.07594058031367</v>
      </c>
      <c r="AO192">
        <f>J192*(J$1-$AF192)^2</f>
        <v>291.89226711092596</v>
      </c>
      <c r="AP192">
        <f>K192*(K$1-$AF192)^2</f>
        <v>471.41718728307637</v>
      </c>
      <c r="AQ192">
        <f>L192*(L$1-$AF192)^2</f>
        <v>865.78296080336872</v>
      </c>
      <c r="AR192">
        <f>M192*(M$1-$AF192)^2</f>
        <v>424.02374010828805</v>
      </c>
      <c r="AS192">
        <f>N192*(N$1-$AF192)^2</f>
        <v>859.64644361145781</v>
      </c>
      <c r="AT192">
        <f>O192*(O$1-$AF192)^2</f>
        <v>425.8433985839232</v>
      </c>
      <c r="AU192">
        <f>P192*(P$1-$AF192)^2</f>
        <v>328.46165949372926</v>
      </c>
      <c r="AV192">
        <f>Q192*(Q$1-$AF192)^2</f>
        <v>172.2458697764819</v>
      </c>
      <c r="AW192">
        <f>R192*(R$1-$AF192)^2</f>
        <v>107.70308667684749</v>
      </c>
      <c r="AX192">
        <f>S192*(S$1-$AF192)^2</f>
        <v>23.138460826507416</v>
      </c>
      <c r="AY192">
        <f>T192*(T$1-$AF192)^2</f>
        <v>1.0180943125549695</v>
      </c>
      <c r="AZ192">
        <f>U192*(U$1-$AF192)^2</f>
        <v>49.043546670368919</v>
      </c>
      <c r="BA192">
        <f>V192*(V$1-$AF192)^2</f>
        <v>159.69549724651779</v>
      </c>
      <c r="BB192">
        <f>W192*(W$1-$AF192)^2</f>
        <v>265.54060807996683</v>
      </c>
      <c r="BC192">
        <f>X192*(X$1-$AF192)^2</f>
        <v>598.74311629413705</v>
      </c>
      <c r="BD192">
        <f>Y192*(Y$1-$AF192)^2</f>
        <v>501.20204544402816</v>
      </c>
      <c r="BE192">
        <f>Z192*(Z$1-$AF192)^2</f>
        <v>451.81396640288779</v>
      </c>
      <c r="BF192">
        <f>AA192*(AA$1-$AF192)^2</f>
        <v>407.38618168355788</v>
      </c>
      <c r="BG192">
        <f>AB192*(AB$1-$AF192)^2</f>
        <v>1125.3214864176966</v>
      </c>
      <c r="BH192">
        <f>AC192*(AC$1-$AF192)^2</f>
        <v>333.86996159007828</v>
      </c>
      <c r="BI192">
        <f>AD192*(AD$1-$AF192)^2</f>
        <v>102.73959924105699</v>
      </c>
      <c r="BJ192">
        <f>AE192*(AE$1-$AF192)^2</f>
        <v>372.03512425378324</v>
      </c>
      <c r="BK192">
        <f>SQRT(SUM(AG192:BJ192)/SUM(B192:AE192))</f>
        <v>4.6000682077891684</v>
      </c>
      <c r="BL192">
        <f>_xlfn.FLOOR.MATH((AF192-BK192)/5)</f>
        <v>2</v>
      </c>
    </row>
    <row r="193" spans="1:64">
      <c r="A193" t="s">
        <v>466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</v>
      </c>
      <c r="J193">
        <v>3</v>
      </c>
      <c r="K193">
        <v>2</v>
      </c>
      <c r="L193">
        <v>2</v>
      </c>
      <c r="M193">
        <v>8</v>
      </c>
      <c r="N193">
        <v>8</v>
      </c>
      <c r="O193">
        <v>3</v>
      </c>
      <c r="P193">
        <v>6</v>
      </c>
      <c r="Q193">
        <v>9</v>
      </c>
      <c r="R193">
        <v>6</v>
      </c>
      <c r="S193">
        <v>6</v>
      </c>
      <c r="T193">
        <v>4</v>
      </c>
      <c r="U193">
        <v>7</v>
      </c>
      <c r="V193">
        <v>6</v>
      </c>
      <c r="W193">
        <v>2</v>
      </c>
      <c r="X193">
        <v>1</v>
      </c>
      <c r="Y193">
        <v>2</v>
      </c>
      <c r="Z193">
        <v>2</v>
      </c>
      <c r="AA193">
        <v>1</v>
      </c>
      <c r="AB193">
        <v>1</v>
      </c>
      <c r="AC193">
        <v>1</v>
      </c>
      <c r="AD193">
        <v>0</v>
      </c>
      <c r="AE193">
        <v>0</v>
      </c>
      <c r="AF193">
        <f>SUMPRODUCT($B$1:$AE$1,B193:AE193)/SUM(B193:AE193)</f>
        <v>16.679012345679013</v>
      </c>
      <c r="AG193">
        <f>B193*(B$1-$AF193)^2</f>
        <v>0</v>
      </c>
      <c r="AH193">
        <f>C193*(C$1-$AF193)^2</f>
        <v>0</v>
      </c>
      <c r="AI193">
        <f>D193*(D$1-$AF193)^2</f>
        <v>0</v>
      </c>
      <c r="AJ193">
        <f>E193*(E$1-$AF193)^2</f>
        <v>0</v>
      </c>
      <c r="AK193">
        <f>F193*(F$1-$AF193)^2</f>
        <v>0</v>
      </c>
      <c r="AL193">
        <f>G193*(G$1-$AF193)^2</f>
        <v>0</v>
      </c>
      <c r="AM193">
        <f>H193*(H$1-$AF193)^2</f>
        <v>0</v>
      </c>
      <c r="AN193">
        <f>I193*(I$1-$AF193)^2</f>
        <v>75.325255296448717</v>
      </c>
      <c r="AO193">
        <f>J193*(J$1-$AF193)^2</f>
        <v>176.90169181527207</v>
      </c>
      <c r="AP193">
        <f>K193*(K$1-$AF193)^2</f>
        <v>89.218411827465331</v>
      </c>
      <c r="AQ193">
        <f>L193*(L$1-$AF193)^2</f>
        <v>64.502362444749281</v>
      </c>
      <c r="AR193">
        <f>M193*(M$1-$AF193)^2</f>
        <v>175.14525224813292</v>
      </c>
      <c r="AS193">
        <f>N193*(N$1-$AF193)^2</f>
        <v>108.28105471726873</v>
      </c>
      <c r="AT193">
        <f>O193*(O$1-$AF193)^2</f>
        <v>21.5313214449017</v>
      </c>
      <c r="AU193">
        <f>P193*(P$1-$AF193)^2</f>
        <v>16.914494741655243</v>
      </c>
      <c r="AV193">
        <f>Q193*(Q$1-$AF193)^2</f>
        <v>4.1495198902606356</v>
      </c>
      <c r="AW193">
        <f>R193*(R$1-$AF193)^2</f>
        <v>0.61819844535893775</v>
      </c>
      <c r="AX193">
        <f>S193*(S$1-$AF193)^2</f>
        <v>10.470050297210785</v>
      </c>
      <c r="AY193">
        <f>T193*(T$1-$AF193)^2</f>
        <v>21.547934766041756</v>
      </c>
      <c r="AZ193">
        <f>U193*(U$1-$AF193)^2</f>
        <v>77.202713001066897</v>
      </c>
      <c r="BA193">
        <f>V193*(V$1-$AF193)^2</f>
        <v>112.02560585276632</v>
      </c>
      <c r="BB193">
        <f>W193*(W$1-$AF193)^2</f>
        <v>56.625819234872722</v>
      </c>
      <c r="BC193">
        <f>X193*(X$1-$AF193)^2</f>
        <v>39.954884926078336</v>
      </c>
      <c r="BD193">
        <f>Y193*(Y$1-$AF193)^2</f>
        <v>107.19372046944062</v>
      </c>
      <c r="BE193">
        <f>Z193*(Z$1-$AF193)^2</f>
        <v>138.47767108672457</v>
      </c>
      <c r="BF193">
        <f>AA193*(AA$1-$AF193)^2</f>
        <v>86.880810852004259</v>
      </c>
      <c r="BG193">
        <f>AB193*(AB$1-$AF193)^2</f>
        <v>106.52278616064623</v>
      </c>
      <c r="BH193">
        <f>AC193*(AC$1-$AF193)^2</f>
        <v>128.16476146928821</v>
      </c>
      <c r="BI193">
        <f>AD193*(AD$1-$AF193)^2</f>
        <v>0</v>
      </c>
      <c r="BJ193">
        <f>AE193*(AE$1-$AF193)^2</f>
        <v>0</v>
      </c>
      <c r="BK193">
        <f>SQRT(SUM(AG193:BJ193)/SUM(B193:AE193))</f>
        <v>4.468897067493006</v>
      </c>
      <c r="BL193">
        <f>_xlfn.FLOOR.MATH((AF193-BK193)/5)</f>
        <v>2</v>
      </c>
    </row>
    <row r="194" spans="1:64">
      <c r="A194" t="s">
        <v>467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2</v>
      </c>
      <c r="AB194">
        <v>0</v>
      </c>
      <c r="AC194">
        <v>1</v>
      </c>
      <c r="AD194">
        <v>2</v>
      </c>
      <c r="AE194">
        <v>1</v>
      </c>
      <c r="AF194">
        <f>SUMPRODUCT($B$1:$AE$1,B194:AE194)/SUM(B194:AE194)</f>
        <v>27.571428571428573</v>
      </c>
      <c r="AG194">
        <f>B194*(B$1-$AF194)^2</f>
        <v>0</v>
      </c>
      <c r="AH194">
        <f>C194*(C$1-$AF194)^2</f>
        <v>0</v>
      </c>
      <c r="AI194">
        <f>D194*(D$1-$AF194)^2</f>
        <v>0</v>
      </c>
      <c r="AJ194">
        <f>E194*(E$1-$AF194)^2</f>
        <v>0</v>
      </c>
      <c r="AK194">
        <f>F194*(F$1-$AF194)^2</f>
        <v>0</v>
      </c>
      <c r="AL194">
        <f>G194*(G$1-$AF194)^2</f>
        <v>0</v>
      </c>
      <c r="AM194">
        <f>H194*(H$1-$AF194)^2</f>
        <v>0</v>
      </c>
      <c r="AN194">
        <f>I194*(I$1-$AF194)^2</f>
        <v>0</v>
      </c>
      <c r="AO194">
        <f>J194*(J$1-$AF194)^2</f>
        <v>0</v>
      </c>
      <c r="AP194">
        <f>K194*(K$1-$AF194)^2</f>
        <v>0</v>
      </c>
      <c r="AQ194">
        <f>L194*(L$1-$AF194)^2</f>
        <v>0</v>
      </c>
      <c r="AR194">
        <f>M194*(M$1-$AF194)^2</f>
        <v>0</v>
      </c>
      <c r="AS194">
        <f>N194*(N$1-$AF194)^2</f>
        <v>0</v>
      </c>
      <c r="AT194">
        <f>O194*(O$1-$AF194)^2</f>
        <v>0</v>
      </c>
      <c r="AU194">
        <f>P194*(P$1-$AF194)^2</f>
        <v>0</v>
      </c>
      <c r="AV194">
        <f>Q194*(Q$1-$AF194)^2</f>
        <v>0</v>
      </c>
      <c r="AW194">
        <f>R194*(R$1-$AF194)^2</f>
        <v>0</v>
      </c>
      <c r="AX194">
        <f>S194*(S$1-$AF194)^2</f>
        <v>0</v>
      </c>
      <c r="AY194">
        <f>T194*(T$1-$AF194)^2</f>
        <v>0</v>
      </c>
      <c r="AZ194">
        <f>U194*(U$1-$AF194)^2</f>
        <v>0</v>
      </c>
      <c r="BA194">
        <f>V194*(V$1-$AF194)^2</f>
        <v>0</v>
      </c>
      <c r="BB194">
        <f>W194*(W$1-$AF194)^2</f>
        <v>0</v>
      </c>
      <c r="BC194">
        <f>X194*(X$1-$AF194)^2</f>
        <v>0</v>
      </c>
      <c r="BD194">
        <f>Y194*(Y$1-$AF194)^2</f>
        <v>0</v>
      </c>
      <c r="BE194">
        <f>Z194*(Z$1-$AF194)^2</f>
        <v>6.6122448979591919</v>
      </c>
      <c r="BF194">
        <f>AA194*(AA$1-$AF194)^2</f>
        <v>4.9387755102040911</v>
      </c>
      <c r="BG194">
        <f>AB194*(AB$1-$AF194)^2</f>
        <v>0</v>
      </c>
      <c r="BH194">
        <f>AC194*(AC$1-$AF194)^2</f>
        <v>0.18367346938775381</v>
      </c>
      <c r="BI194">
        <f>AD194*(AD$1-$AF194)^2</f>
        <v>4.0816326530612157</v>
      </c>
      <c r="BJ194">
        <f>AE194*(AE$1-$AF194)^2</f>
        <v>5.8979591836734624</v>
      </c>
      <c r="BK194">
        <f>SQRT(SUM(AG194:BJ194)/SUM(B194:AE194))</f>
        <v>1.761261143705422</v>
      </c>
      <c r="BL194">
        <f>_xlfn.FLOOR.MATH((AF194-BK194)/5)</f>
        <v>5</v>
      </c>
    </row>
    <row r="195" spans="1:64">
      <c r="A195" t="s">
        <v>468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2</v>
      </c>
      <c r="L195">
        <v>2</v>
      </c>
      <c r="M195">
        <v>8</v>
      </c>
      <c r="N195">
        <v>17</v>
      </c>
      <c r="O195">
        <v>25</v>
      </c>
      <c r="P195">
        <v>15</v>
      </c>
      <c r="Q195">
        <v>11</v>
      </c>
      <c r="R195">
        <v>15</v>
      </c>
      <c r="S195">
        <v>17</v>
      </c>
      <c r="T195">
        <v>14</v>
      </c>
      <c r="U195">
        <v>11</v>
      </c>
      <c r="V195">
        <v>5</v>
      </c>
      <c r="W195">
        <v>9</v>
      </c>
      <c r="X195">
        <v>4</v>
      </c>
      <c r="Y195">
        <v>1</v>
      </c>
      <c r="Z195">
        <v>1</v>
      </c>
      <c r="AA195">
        <v>2</v>
      </c>
      <c r="AB195">
        <v>1</v>
      </c>
      <c r="AC195">
        <v>1</v>
      </c>
      <c r="AD195">
        <v>0</v>
      </c>
      <c r="AE195">
        <v>0</v>
      </c>
      <c r="AF195">
        <f>SUMPRODUCT($B$1:$AE$1,B195:AE195)/SUM(B195:AE195)</f>
        <v>16.819875776397517</v>
      </c>
      <c r="AG195">
        <f>B195*(B$1-$AF195)^2</f>
        <v>0</v>
      </c>
      <c r="AH195">
        <f>C195*(C$1-$AF195)^2</f>
        <v>0</v>
      </c>
      <c r="AI195">
        <f>D195*(D$1-$AF195)^2</f>
        <v>0</v>
      </c>
      <c r="AJ195">
        <f>E195*(E$1-$AF195)^2</f>
        <v>0</v>
      </c>
      <c r="AK195">
        <f>F195*(F$1-$AF195)^2</f>
        <v>0</v>
      </c>
      <c r="AL195">
        <f>G195*(G$1-$AF195)^2</f>
        <v>0</v>
      </c>
      <c r="AM195">
        <f>H195*(H$1-$AF195)^2</f>
        <v>0</v>
      </c>
      <c r="AN195">
        <f>I195*(I$1-$AF195)^2</f>
        <v>0</v>
      </c>
      <c r="AO195">
        <f>J195*(J$1-$AF195)^2</f>
        <v>0</v>
      </c>
      <c r="AP195">
        <f>K195*(K$1-$AF195)^2</f>
        <v>93.021411210987267</v>
      </c>
      <c r="AQ195">
        <f>L195*(L$1-$AF195)^2</f>
        <v>67.741908105397201</v>
      </c>
      <c r="AR195">
        <f>M195*(M$1-$AF195)^2</f>
        <v>185.84961999922851</v>
      </c>
      <c r="AS195">
        <f>N195*(N$1-$AF195)^2</f>
        <v>248.05466610084503</v>
      </c>
      <c r="AT195">
        <f>O195*(O$1-$AF195)^2</f>
        <v>198.79248485783742</v>
      </c>
      <c r="AU195">
        <f>P195*(P$1-$AF195)^2</f>
        <v>49.67921762277696</v>
      </c>
      <c r="AV195">
        <f>Q195*(Q$1-$AF195)^2</f>
        <v>7.3941591759577383</v>
      </c>
      <c r="AW195">
        <f>R195*(R$1-$AF195)^2</f>
        <v>0.48667103892596136</v>
      </c>
      <c r="AX195">
        <f>S195*(S$1-$AF195)^2</f>
        <v>23.675784113267191</v>
      </c>
      <c r="AY195">
        <f>T195*(T$1-$AF195)^2</f>
        <v>66.541182824736637</v>
      </c>
      <c r="AZ195">
        <f>U195*(U$1-$AF195)^2</f>
        <v>111.24509085297628</v>
      </c>
      <c r="BA195">
        <f>V195*(V$1-$AF195)^2</f>
        <v>87.367192623741317</v>
      </c>
      <c r="BB195">
        <f>W195*(W$1-$AF195)^2</f>
        <v>241.50318274757907</v>
      </c>
      <c r="BC195">
        <f>X195*(X$1-$AF195)^2</f>
        <v>152.7757416766328</v>
      </c>
      <c r="BD195">
        <f>Y195*(Y$1-$AF195)^2</f>
        <v>51.554183866363168</v>
      </c>
      <c r="BE195">
        <f>Z195*(Z$1-$AF195)^2</f>
        <v>66.914432313568128</v>
      </c>
      <c r="BF195">
        <f>AA195*(AA$1-$AF195)^2</f>
        <v>168.54936152154619</v>
      </c>
      <c r="BG195">
        <f>AB195*(AB$1-$AF195)^2</f>
        <v>103.63492920797806</v>
      </c>
      <c r="BH195">
        <f>AC195*(AC$1-$AF195)^2</f>
        <v>124.99517765518303</v>
      </c>
      <c r="BI195">
        <f>AD195*(AD$1-$AF195)^2</f>
        <v>0</v>
      </c>
      <c r="BJ195">
        <f>AE195*(AE$1-$AF195)^2</f>
        <v>0</v>
      </c>
      <c r="BK195">
        <f>SQRT(SUM(AG195:BJ195)/SUM(B195:AE195))</f>
        <v>3.5681270183880933</v>
      </c>
      <c r="BL195">
        <f>_xlfn.FLOOR.MATH((AF195-BK195)/5)</f>
        <v>2</v>
      </c>
    </row>
    <row r="196" spans="1:64">
      <c r="A196" t="s">
        <v>469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3</v>
      </c>
      <c r="U196">
        <v>2</v>
      </c>
      <c r="V196">
        <v>0</v>
      </c>
      <c r="W196">
        <v>1</v>
      </c>
      <c r="X196">
        <v>1</v>
      </c>
      <c r="Y196">
        <v>3</v>
      </c>
      <c r="Z196">
        <v>1</v>
      </c>
      <c r="AA196">
        <v>2</v>
      </c>
      <c r="AB196">
        <v>0</v>
      </c>
      <c r="AC196">
        <v>0</v>
      </c>
      <c r="AD196">
        <v>0</v>
      </c>
      <c r="AE196">
        <v>0</v>
      </c>
      <c r="AF196">
        <f>SUMPRODUCT($B$1:$AE$1,B196:AE196)/SUM(B196:AE196)</f>
        <v>22.384615384615383</v>
      </c>
      <c r="AG196">
        <f>B196*(B$1-$AF196)^2</f>
        <v>0</v>
      </c>
      <c r="AH196">
        <f>C196*(C$1-$AF196)^2</f>
        <v>0</v>
      </c>
      <c r="AI196">
        <f>D196*(D$1-$AF196)^2</f>
        <v>0</v>
      </c>
      <c r="AJ196">
        <f>E196*(E$1-$AF196)^2</f>
        <v>0</v>
      </c>
      <c r="AK196">
        <f>F196*(F$1-$AF196)^2</f>
        <v>0</v>
      </c>
      <c r="AL196">
        <f>G196*(G$1-$AF196)^2</f>
        <v>0</v>
      </c>
      <c r="AM196">
        <f>H196*(H$1-$AF196)^2</f>
        <v>0</v>
      </c>
      <c r="AN196">
        <f>I196*(I$1-$AF196)^2</f>
        <v>0</v>
      </c>
      <c r="AO196">
        <f>J196*(J$1-$AF196)^2</f>
        <v>0</v>
      </c>
      <c r="AP196">
        <f>K196*(K$1-$AF196)^2</f>
        <v>0</v>
      </c>
      <c r="AQ196">
        <f>L196*(L$1-$AF196)^2</f>
        <v>0</v>
      </c>
      <c r="AR196">
        <f>M196*(M$1-$AF196)^2</f>
        <v>0</v>
      </c>
      <c r="AS196">
        <f>N196*(N$1-$AF196)^2</f>
        <v>0</v>
      </c>
      <c r="AT196">
        <f>O196*(O$1-$AF196)^2</f>
        <v>0</v>
      </c>
      <c r="AU196">
        <f>P196*(P$1-$AF196)^2</f>
        <v>0</v>
      </c>
      <c r="AV196">
        <f>Q196*(Q$1-$AF196)^2</f>
        <v>0</v>
      </c>
      <c r="AW196">
        <f>R196*(R$1-$AF196)^2</f>
        <v>0</v>
      </c>
      <c r="AX196">
        <f>S196*(S$1-$AF196)^2</f>
        <v>0</v>
      </c>
      <c r="AY196">
        <f>T196*(T$1-$AF196)^2</f>
        <v>34.366863905325417</v>
      </c>
      <c r="AZ196">
        <f>U196*(U$1-$AF196)^2</f>
        <v>11.372781065088745</v>
      </c>
      <c r="BA196">
        <f>V196*(V$1-$AF196)^2</f>
        <v>0</v>
      </c>
      <c r="BB196">
        <f>W196*(W$1-$AF196)^2</f>
        <v>0.14792899408283919</v>
      </c>
      <c r="BC196">
        <f>X196*(X$1-$AF196)^2</f>
        <v>0.37869822485207266</v>
      </c>
      <c r="BD196">
        <f>Y196*(Y$1-$AF196)^2</f>
        <v>7.8284023668639175</v>
      </c>
      <c r="BE196">
        <f>Z196*(Z$1-$AF196)^2</f>
        <v>6.8402366863905399</v>
      </c>
      <c r="BF196">
        <f>AA196*(AA$1-$AF196)^2</f>
        <v>26.142011834319547</v>
      </c>
      <c r="BG196">
        <f>AB196*(AB$1-$AF196)^2</f>
        <v>0</v>
      </c>
      <c r="BH196">
        <f>AC196*(AC$1-$AF196)^2</f>
        <v>0</v>
      </c>
      <c r="BI196">
        <f>AD196*(AD$1-$AF196)^2</f>
        <v>0</v>
      </c>
      <c r="BJ196">
        <f>AE196*(AE$1-$AF196)^2</f>
        <v>0</v>
      </c>
      <c r="BK196">
        <f>SQRT(SUM(AG196:BJ196)/SUM(B196:AE196))</f>
        <v>2.5880928986554959</v>
      </c>
      <c r="BL196">
        <f>_xlfn.FLOOR.MATH((AF196-BK196)/5)</f>
        <v>3</v>
      </c>
    </row>
    <row r="197" spans="1:64">
      <c r="A197" t="s">
        <v>470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3</v>
      </c>
      <c r="W197">
        <v>1</v>
      </c>
      <c r="X197">
        <v>0</v>
      </c>
      <c r="Y197">
        <v>0</v>
      </c>
      <c r="Z197">
        <v>1</v>
      </c>
      <c r="AA197">
        <v>4</v>
      </c>
      <c r="AB197">
        <v>0</v>
      </c>
      <c r="AC197">
        <v>0</v>
      </c>
      <c r="AD197">
        <v>0</v>
      </c>
      <c r="AE197">
        <v>1</v>
      </c>
      <c r="AF197">
        <f>SUMPRODUCT($B$1:$AE$1,B197:AE197)/SUM(B197:AE197)</f>
        <v>24</v>
      </c>
      <c r="AG197">
        <f>B197*(B$1-$AF197)^2</f>
        <v>0</v>
      </c>
      <c r="AH197">
        <f>C197*(C$1-$AF197)^2</f>
        <v>0</v>
      </c>
      <c r="AI197">
        <f>D197*(D$1-$AF197)^2</f>
        <v>0</v>
      </c>
      <c r="AJ197">
        <f>E197*(E$1-$AF197)^2</f>
        <v>0</v>
      </c>
      <c r="AK197">
        <f>F197*(F$1-$AF197)^2</f>
        <v>0</v>
      </c>
      <c r="AL197">
        <f>G197*(G$1-$AF197)^2</f>
        <v>0</v>
      </c>
      <c r="AM197">
        <f>H197*(H$1-$AF197)^2</f>
        <v>0</v>
      </c>
      <c r="AN197">
        <f>I197*(I$1-$AF197)^2</f>
        <v>0</v>
      </c>
      <c r="AO197">
        <f>J197*(J$1-$AF197)^2</f>
        <v>0</v>
      </c>
      <c r="AP197">
        <f>K197*(K$1-$AF197)^2</f>
        <v>0</v>
      </c>
      <c r="AQ197">
        <f>L197*(L$1-$AF197)^2</f>
        <v>0</v>
      </c>
      <c r="AR197">
        <f>M197*(M$1-$AF197)^2</f>
        <v>0</v>
      </c>
      <c r="AS197">
        <f>N197*(N$1-$AF197)^2</f>
        <v>0</v>
      </c>
      <c r="AT197">
        <f>O197*(O$1-$AF197)^2</f>
        <v>0</v>
      </c>
      <c r="AU197">
        <f>P197*(P$1-$AF197)^2</f>
        <v>0</v>
      </c>
      <c r="AV197">
        <f>Q197*(Q$1-$AF197)^2</f>
        <v>0</v>
      </c>
      <c r="AW197">
        <f>R197*(R$1-$AF197)^2</f>
        <v>0</v>
      </c>
      <c r="AX197">
        <f>S197*(S$1-$AF197)^2</f>
        <v>0</v>
      </c>
      <c r="AY197">
        <f>T197*(T$1-$AF197)^2</f>
        <v>0</v>
      </c>
      <c r="AZ197">
        <f>U197*(U$1-$AF197)^2</f>
        <v>16</v>
      </c>
      <c r="BA197">
        <f>V197*(V$1-$AF197)^2</f>
        <v>27</v>
      </c>
      <c r="BB197">
        <f>W197*(W$1-$AF197)^2</f>
        <v>4</v>
      </c>
      <c r="BC197">
        <f>X197*(X$1-$AF197)^2</f>
        <v>0</v>
      </c>
      <c r="BD197">
        <f>Y197*(Y$1-$AF197)^2</f>
        <v>0</v>
      </c>
      <c r="BE197">
        <f>Z197*(Z$1-$AF197)^2</f>
        <v>1</v>
      </c>
      <c r="BF197">
        <f>AA197*(AA$1-$AF197)^2</f>
        <v>16</v>
      </c>
      <c r="BG197">
        <f>AB197*(AB$1-$AF197)^2</f>
        <v>0</v>
      </c>
      <c r="BH197">
        <f>AC197*(AC$1-$AF197)^2</f>
        <v>0</v>
      </c>
      <c r="BI197">
        <f>AD197*(AD$1-$AF197)^2</f>
        <v>0</v>
      </c>
      <c r="BJ197">
        <f>AE197*(AE$1-$AF197)^2</f>
        <v>36</v>
      </c>
      <c r="BK197">
        <f>SQRT(SUM(AG197:BJ197)/SUM(B197:AE197))</f>
        <v>3.0151134457776365</v>
      </c>
      <c r="BL197">
        <f>_xlfn.FLOOR.MATH((AF197-BK197)/5)</f>
        <v>4</v>
      </c>
    </row>
    <row r="198" spans="1:64">
      <c r="A198" t="s">
        <v>471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6</v>
      </c>
      <c r="W198">
        <v>5</v>
      </c>
      <c r="X198">
        <v>3</v>
      </c>
      <c r="Y198">
        <v>0</v>
      </c>
      <c r="Z198">
        <v>1</v>
      </c>
      <c r="AA198">
        <v>2</v>
      </c>
      <c r="AB198">
        <v>0</v>
      </c>
      <c r="AC198">
        <v>0</v>
      </c>
      <c r="AD198">
        <v>0</v>
      </c>
      <c r="AE198">
        <v>0</v>
      </c>
      <c r="AF198">
        <f>SUMPRODUCT($B$1:$AE$1,B198:AE198)/SUM(B198:AE198)</f>
        <v>21.047619047619047</v>
      </c>
      <c r="AG198">
        <f>B198*(B$1-$AF198)^2</f>
        <v>0</v>
      </c>
      <c r="AH198">
        <f>C198*(C$1-$AF198)^2</f>
        <v>0</v>
      </c>
      <c r="AI198">
        <f>D198*(D$1-$AF198)^2</f>
        <v>0</v>
      </c>
      <c r="AJ198">
        <f>E198*(E$1-$AF198)^2</f>
        <v>0</v>
      </c>
      <c r="AK198">
        <f>F198*(F$1-$AF198)^2</f>
        <v>0</v>
      </c>
      <c r="AL198">
        <f>G198*(G$1-$AF198)^2</f>
        <v>0</v>
      </c>
      <c r="AM198">
        <f>H198*(H$1-$AF198)^2</f>
        <v>0</v>
      </c>
      <c r="AN198">
        <f>I198*(I$1-$AF198)^2</f>
        <v>0</v>
      </c>
      <c r="AO198">
        <f>J198*(J$1-$AF198)^2</f>
        <v>0</v>
      </c>
      <c r="AP198">
        <f>K198*(K$1-$AF198)^2</f>
        <v>0</v>
      </c>
      <c r="AQ198">
        <f>L198*(L$1-$AF198)^2</f>
        <v>0</v>
      </c>
      <c r="AR198">
        <f>M198*(M$1-$AF198)^2</f>
        <v>81.859410430839006</v>
      </c>
      <c r="AS198">
        <f>N198*(N$1-$AF198)^2</f>
        <v>0</v>
      </c>
      <c r="AT198">
        <f>O198*(O$1-$AF198)^2</f>
        <v>99.337868480725618</v>
      </c>
      <c r="AU198">
        <f>P198*(P$1-$AF198)^2</f>
        <v>0</v>
      </c>
      <c r="AV198">
        <f>Q198*(Q$1-$AF198)^2</f>
        <v>0</v>
      </c>
      <c r="AW198">
        <f>R198*(R$1-$AF198)^2</f>
        <v>0</v>
      </c>
      <c r="AX198">
        <f>S198*(S$1-$AF198)^2</f>
        <v>0</v>
      </c>
      <c r="AY198">
        <f>T198*(T$1-$AF198)^2</f>
        <v>0</v>
      </c>
      <c r="AZ198">
        <f>U198*(U$1-$AF198)^2</f>
        <v>1.09750566893424</v>
      </c>
      <c r="BA198">
        <f>V198*(V$1-$AF198)^2</f>
        <v>1.3605442176870652E-2</v>
      </c>
      <c r="BB198">
        <f>W198*(W$1-$AF198)^2</f>
        <v>4.5351473922902503</v>
      </c>
      <c r="BC198">
        <f>X198*(X$1-$AF198)^2</f>
        <v>11.435374149659866</v>
      </c>
      <c r="BD198">
        <f>Y198*(Y$1-$AF198)^2</f>
        <v>0</v>
      </c>
      <c r="BE198">
        <f>Z198*(Z$1-$AF198)^2</f>
        <v>15.621315192743765</v>
      </c>
      <c r="BF198">
        <f>AA198*(AA$1-$AF198)^2</f>
        <v>49.05215419501134</v>
      </c>
      <c r="BG198">
        <f>AB198*(AB$1-$AF198)^2</f>
        <v>0</v>
      </c>
      <c r="BH198">
        <f>AC198*(AC$1-$AF198)^2</f>
        <v>0</v>
      </c>
      <c r="BI198">
        <f>AD198*(AD$1-$AF198)^2</f>
        <v>0</v>
      </c>
      <c r="BJ198">
        <f>AE198*(AE$1-$AF198)^2</f>
        <v>0</v>
      </c>
      <c r="BK198">
        <f>SQRT(SUM(AG198:BJ198)/SUM(B198:AE198))</f>
        <v>3.5385790863160569</v>
      </c>
      <c r="BL198">
        <f>_xlfn.FLOOR.MATH((AF198-BK198)/5)</f>
        <v>3</v>
      </c>
    </row>
    <row r="199" spans="1:64">
      <c r="A199" t="s">
        <v>472</v>
      </c>
      <c r="B199">
        <v>0</v>
      </c>
      <c r="C199">
        <v>0</v>
      </c>
      <c r="D199">
        <v>0</v>
      </c>
      <c r="E199">
        <v>0</v>
      </c>
      <c r="F199">
        <v>2</v>
      </c>
      <c r="G199">
        <v>19</v>
      </c>
      <c r="H199">
        <v>24</v>
      </c>
      <c r="I199">
        <v>24</v>
      </c>
      <c r="J199">
        <v>14</v>
      </c>
      <c r="K199">
        <v>16</v>
      </c>
      <c r="L199">
        <v>12</v>
      </c>
      <c r="M199">
        <v>29</v>
      </c>
      <c r="N199">
        <v>26</v>
      </c>
      <c r="O199">
        <v>22</v>
      </c>
      <c r="P199">
        <v>26</v>
      </c>
      <c r="Q199">
        <v>30</v>
      </c>
      <c r="R199">
        <v>29</v>
      </c>
      <c r="S199">
        <v>33</v>
      </c>
      <c r="T199">
        <v>30</v>
      </c>
      <c r="U199">
        <v>16</v>
      </c>
      <c r="V199">
        <v>25</v>
      </c>
      <c r="W199">
        <v>34</v>
      </c>
      <c r="X199">
        <v>13</v>
      </c>
      <c r="Y199">
        <v>9</v>
      </c>
      <c r="Z199">
        <v>13</v>
      </c>
      <c r="AA199">
        <v>7</v>
      </c>
      <c r="AB199">
        <v>8</v>
      </c>
      <c r="AC199">
        <v>2</v>
      </c>
      <c r="AD199">
        <v>1</v>
      </c>
      <c r="AE199">
        <v>1</v>
      </c>
      <c r="AF199">
        <f>SUMPRODUCT($B$1:$AE$1,B199:AE199)/SUM(B199:AE199)</f>
        <v>15.84731182795699</v>
      </c>
      <c r="AG199">
        <f>B199*(B$1-$AF199)^2</f>
        <v>0</v>
      </c>
      <c r="AH199">
        <f>C199*(C$1-$AF199)^2</f>
        <v>0</v>
      </c>
      <c r="AI199">
        <f>D199*(D$1-$AF199)^2</f>
        <v>0</v>
      </c>
      <c r="AJ199">
        <f>E199*(E$1-$AF199)^2</f>
        <v>0</v>
      </c>
      <c r="AK199">
        <f>F199*(F$1-$AF199)^2</f>
        <v>235.32834778587122</v>
      </c>
      <c r="AL199">
        <f>G199*(G$1-$AF199)^2</f>
        <v>1842.4214545034108</v>
      </c>
      <c r="AM199">
        <f>H199*(H$1-$AF199)^2</f>
        <v>1878.5982379465836</v>
      </c>
      <c r="AN199">
        <f>I199*(I$1-$AF199)^2</f>
        <v>1477.927270204648</v>
      </c>
      <c r="AO199">
        <f>J199*(J$1-$AF199)^2</f>
        <v>656.39950976991565</v>
      </c>
      <c r="AP199">
        <f>K199*(K$1-$AF199)^2</f>
        <v>547.0568898138514</v>
      </c>
      <c r="AQ199">
        <f>L199*(L$1-$AF199)^2</f>
        <v>281.9571834894208</v>
      </c>
      <c r="AR199">
        <f>M199*(M$1-$AF199)^2</f>
        <v>429.25244074459482</v>
      </c>
      <c r="AS199">
        <f>N199*(N$1-$AF199)^2</f>
        <v>210.78680078621809</v>
      </c>
      <c r="AT199">
        <f>O199*(O$1-$AF199)^2</f>
        <v>75.076341773615468</v>
      </c>
      <c r="AU199">
        <f>P199*(P$1-$AF199)^2</f>
        <v>18.666370678691191</v>
      </c>
      <c r="AV199">
        <f>Q199*(Q$1-$AF199)^2</f>
        <v>0.69941033645507866</v>
      </c>
      <c r="AW199">
        <f>R199*(R$1-$AF199)^2</f>
        <v>38.532010637067849</v>
      </c>
      <c r="AX199">
        <f>S199*(S$1-$AF199)^2</f>
        <v>152.92419007977796</v>
      </c>
      <c r="AY199">
        <f>T199*(T$1-$AF199)^2</f>
        <v>298.18328130419695</v>
      </c>
      <c r="AZ199">
        <f>U199*(U$1-$AF199)^2</f>
        <v>275.91710486761474</v>
      </c>
      <c r="BA199">
        <f>V199*(V$1-$AF199)^2</f>
        <v>663.75488495779859</v>
      </c>
      <c r="BB199">
        <f>W199*(W$1-$AF199)^2</f>
        <v>1287.0894392415307</v>
      </c>
      <c r="BC199">
        <f>X199*(X$1-$AF199)^2</f>
        <v>665.09232512429185</v>
      </c>
      <c r="BD199">
        <f>Y199*(Y$1-$AF199)^2</f>
        <v>598.19691987512999</v>
      </c>
      <c r="BE199">
        <f>Z199*(Z$1-$AF199)^2</f>
        <v>1089.0321100705282</v>
      </c>
      <c r="BF199">
        <f>AA199*(AA$1-$AF199)^2</f>
        <v>721.53953983119425</v>
      </c>
      <c r="BG199">
        <f>AB199*(AB$1-$AF199)^2</f>
        <v>995.05962770262454</v>
      </c>
      <c r="BH199">
        <f>AC199*(AC$1-$AF199)^2</f>
        <v>295.37565961382819</v>
      </c>
      <c r="BI199">
        <f>AD199*(AD$1-$AF199)^2</f>
        <v>172.99320615100009</v>
      </c>
      <c r="BJ199">
        <f>AE199*(AE$1-$AF199)^2</f>
        <v>200.29858249508612</v>
      </c>
      <c r="BK199">
        <f>SQRT(SUM(AG199:BJ199)/SUM(B199:AE199))</f>
        <v>5.7000583169597316</v>
      </c>
      <c r="BL199">
        <f>_xlfn.FLOOR.MATH((AF199-BK199)/5)</f>
        <v>2</v>
      </c>
    </row>
    <row r="200" spans="1:64">
      <c r="A200" t="s">
        <v>473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3</v>
      </c>
      <c r="H200">
        <v>8</v>
      </c>
      <c r="I200">
        <v>6</v>
      </c>
      <c r="J200">
        <v>13</v>
      </c>
      <c r="K200">
        <v>20</v>
      </c>
      <c r="L200">
        <v>19</v>
      </c>
      <c r="M200">
        <v>41</v>
      </c>
      <c r="N200">
        <v>54</v>
      </c>
      <c r="O200">
        <v>50</v>
      </c>
      <c r="P200">
        <v>55</v>
      </c>
      <c r="Q200">
        <v>76</v>
      </c>
      <c r="R200">
        <v>79</v>
      </c>
      <c r="S200">
        <v>106</v>
      </c>
      <c r="T200">
        <v>119</v>
      </c>
      <c r="U200">
        <v>96</v>
      </c>
      <c r="V200">
        <v>96</v>
      </c>
      <c r="W200">
        <v>125</v>
      </c>
      <c r="X200">
        <v>99</v>
      </c>
      <c r="Y200">
        <v>66</v>
      </c>
      <c r="Z200">
        <v>65</v>
      </c>
      <c r="AA200">
        <v>59</v>
      </c>
      <c r="AB200">
        <v>28</v>
      </c>
      <c r="AC200">
        <v>6</v>
      </c>
      <c r="AD200">
        <v>7</v>
      </c>
      <c r="AE200">
        <v>5</v>
      </c>
      <c r="AF200">
        <f>SUMPRODUCT($B$1:$AE$1,B200:AE200)/SUM(B200:AE200)</f>
        <v>19.275941583397387</v>
      </c>
      <c r="AG200">
        <f>B200*(B$1-$AF200)^2</f>
        <v>0</v>
      </c>
      <c r="AH200">
        <f>C200*(C$1-$AF200)^2</f>
        <v>0</v>
      </c>
      <c r="AI200">
        <f>D200*(D$1-$AF200)^2</f>
        <v>0</v>
      </c>
      <c r="AJ200">
        <f>E200*(E$1-$AF200)^2</f>
        <v>0</v>
      </c>
      <c r="AK200">
        <f>F200*(F$1-$AF200)^2</f>
        <v>0</v>
      </c>
      <c r="AL200">
        <f>G200*(G$1-$AF200)^2</f>
        <v>528.75187477733971</v>
      </c>
      <c r="AM200">
        <f>H200*(H$1-$AF200)^2</f>
        <v>1205.5899340718811</v>
      </c>
      <c r="AN200">
        <f>I200*(I$1-$AF200)^2</f>
        <v>762.88115155314222</v>
      </c>
      <c r="AO200">
        <f>J200*(J$1-$AF200)^2</f>
        <v>1372.7346805301427</v>
      </c>
      <c r="AP200">
        <f>K200*(K$1-$AF200)^2</f>
        <v>1720.8618451720165</v>
      </c>
      <c r="AQ200">
        <f>L200*(L$1-$AF200)^2</f>
        <v>1301.3329727443147</v>
      </c>
      <c r="AR200">
        <f>M200*(M$1-$AF200)^2</f>
        <v>2170.5123629254622</v>
      </c>
      <c r="AS200">
        <f>N200*(N$1-$AF200)^2</f>
        <v>2126.9219089436911</v>
      </c>
      <c r="AT200">
        <f>O200*(O$1-$AF200)^2</f>
        <v>1391.7779795710862</v>
      </c>
      <c r="AU200">
        <f>P200*(P$1-$AF200)^2</f>
        <v>1005.6022033544823</v>
      </c>
      <c r="AV200">
        <f>Q200*(Q$1-$AF200)^2</f>
        <v>815.61628759524558</v>
      </c>
      <c r="AW200">
        <f>R200*(R$1-$AF200)^2</f>
        <v>409.21289719195499</v>
      </c>
      <c r="AX200">
        <f>S200*(S$1-$AF200)^2</f>
        <v>172.57085396971885</v>
      </c>
      <c r="AY200">
        <f>T200*(T$1-$AF200)^2</f>
        <v>9.0611071362949822</v>
      </c>
      <c r="AZ200">
        <f>U200*(U$1-$AF200)^2</f>
        <v>50.329016702695995</v>
      </c>
      <c r="BA200">
        <f>V200*(V$1-$AF200)^2</f>
        <v>285.34823269039771</v>
      </c>
      <c r="BB200">
        <f>W200*(W$1-$AF200)^2</f>
        <v>927.56178213294208</v>
      </c>
      <c r="BC200">
        <f>X200*(X$1-$AF200)^2</f>
        <v>1372.9924979366076</v>
      </c>
      <c r="BD200">
        <f>Y200*(Y$1-$AF200)^2</f>
        <v>1472.9040429492832</v>
      </c>
      <c r="BE200">
        <f>Z200*(Z$1-$AF200)^2</f>
        <v>2129.7149091841493</v>
      </c>
      <c r="BF200">
        <f>AA200*(AA$1-$AF200)^2</f>
        <v>2667.5647338031822</v>
      </c>
      <c r="BG200">
        <f>AB200*(AB$1-$AF200)^2</f>
        <v>1670.5101958465107</v>
      </c>
      <c r="BH200">
        <f>AC200*(AC$1-$AF200)^2</f>
        <v>456.65517153776938</v>
      </c>
      <c r="BI200">
        <f>AD200*(AD$1-$AF200)^2</f>
        <v>661.90118462650082</v>
      </c>
      <c r="BJ200">
        <f>AE200*(AE$1-$AF200)^2</f>
        <v>575.02714461352673</v>
      </c>
      <c r="BK200">
        <f>SQRT(SUM(AG200:BJ200)/SUM(B200:AE200))</f>
        <v>4.5777875771917493</v>
      </c>
      <c r="BL200">
        <f>_xlfn.FLOOR.MATH((AF200-BK200)/5)</f>
        <v>2</v>
      </c>
    </row>
    <row r="201" spans="1:64">
      <c r="A201" t="s">
        <v>474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1</v>
      </c>
      <c r="J201">
        <v>0</v>
      </c>
      <c r="K201">
        <v>2</v>
      </c>
      <c r="L201">
        <v>0</v>
      </c>
      <c r="M201">
        <v>4</v>
      </c>
      <c r="N201">
        <v>4</v>
      </c>
      <c r="O201">
        <v>1</v>
      </c>
      <c r="P201">
        <v>3</v>
      </c>
      <c r="Q201">
        <v>2</v>
      </c>
      <c r="R201">
        <v>9</v>
      </c>
      <c r="S201">
        <v>21</v>
      </c>
      <c r="T201">
        <v>18</v>
      </c>
      <c r="U201">
        <v>12</v>
      </c>
      <c r="V201">
        <v>13</v>
      </c>
      <c r="W201">
        <v>7</v>
      </c>
      <c r="X201">
        <v>12</v>
      </c>
      <c r="Y201">
        <v>5</v>
      </c>
      <c r="Z201">
        <v>1</v>
      </c>
      <c r="AA201">
        <v>2</v>
      </c>
      <c r="AB201">
        <v>3</v>
      </c>
      <c r="AC201">
        <v>0</v>
      </c>
      <c r="AD201">
        <v>0</v>
      </c>
      <c r="AE201">
        <v>0</v>
      </c>
      <c r="AF201">
        <f>SUMPRODUCT($B$1:$AE$1,B201:AE201)/SUM(B201:AE201)</f>
        <v>19.274999999999999</v>
      </c>
      <c r="AG201">
        <f>B201*(B$1-$AF201)^2</f>
        <v>0</v>
      </c>
      <c r="AH201">
        <f>C201*(C$1-$AF201)^2</f>
        <v>0</v>
      </c>
      <c r="AI201">
        <f>D201*(D$1-$AF201)^2</f>
        <v>0</v>
      </c>
      <c r="AJ201">
        <f>E201*(E$1-$AF201)^2</f>
        <v>0</v>
      </c>
      <c r="AK201">
        <f>F201*(F$1-$AF201)^2</f>
        <v>0</v>
      </c>
      <c r="AL201">
        <f>G201*(G$1-$AF201)^2</f>
        <v>0</v>
      </c>
      <c r="AM201">
        <f>H201*(H$1-$AF201)^2</f>
        <v>0</v>
      </c>
      <c r="AN201">
        <f>I201*(I$1-$AF201)^2</f>
        <v>127.12562499999997</v>
      </c>
      <c r="AO201">
        <f>J201*(J$1-$AF201)^2</f>
        <v>0</v>
      </c>
      <c r="AP201">
        <f>K201*(K$1-$AF201)^2</f>
        <v>172.05124999999995</v>
      </c>
      <c r="AQ201">
        <f>L201*(L$1-$AF201)^2</f>
        <v>0</v>
      </c>
      <c r="AR201">
        <f>M201*(M$1-$AF201)^2</f>
        <v>211.70249999999993</v>
      </c>
      <c r="AS201">
        <f>N201*(N$1-$AF201)^2</f>
        <v>157.50249999999994</v>
      </c>
      <c r="AT201">
        <f>O201*(O$1-$AF201)^2</f>
        <v>27.825624999999985</v>
      </c>
      <c r="AU201">
        <f>P201*(P$1-$AF201)^2</f>
        <v>54.826874999999959</v>
      </c>
      <c r="AV201">
        <f>Q201*(Q$1-$AF201)^2</f>
        <v>21.45124999999998</v>
      </c>
      <c r="AW201">
        <f>R201*(R$1-$AF201)^2</f>
        <v>46.580624999999948</v>
      </c>
      <c r="AX201">
        <f>S201*(S$1-$AF201)^2</f>
        <v>34.138124999999924</v>
      </c>
      <c r="AY201">
        <f>T201*(T$1-$AF201)^2</f>
        <v>1.3612499999999859</v>
      </c>
      <c r="AZ201">
        <f>U201*(U$1-$AF201)^2</f>
        <v>6.3075000000000241</v>
      </c>
      <c r="BA201">
        <f>V201*(V$1-$AF201)^2</f>
        <v>38.683125000000061</v>
      </c>
      <c r="BB201">
        <f>W201*(W$1-$AF201)^2</f>
        <v>51.979375000000054</v>
      </c>
      <c r="BC201">
        <f>X201*(X$1-$AF201)^2</f>
        <v>166.50750000000011</v>
      </c>
      <c r="BD201">
        <f>Y201*(Y$1-$AF201)^2</f>
        <v>111.62812500000007</v>
      </c>
      <c r="BE201">
        <f>Z201*(Z$1-$AF201)^2</f>
        <v>32.775625000000019</v>
      </c>
      <c r="BF201">
        <f>AA201*(AA$1-$AF201)^2</f>
        <v>90.451250000000044</v>
      </c>
      <c r="BG201">
        <f>AB201*(AB$1-$AF201)^2</f>
        <v>179.02687500000008</v>
      </c>
      <c r="BH201">
        <f>AC201*(AC$1-$AF201)^2</f>
        <v>0</v>
      </c>
      <c r="BI201">
        <f>AD201*(AD$1-$AF201)^2</f>
        <v>0</v>
      </c>
      <c r="BJ201">
        <f>AE201*(AE$1-$AF201)^2</f>
        <v>0</v>
      </c>
      <c r="BK201">
        <f>SQRT(SUM(AG201:BJ201)/SUM(B201:AE201))</f>
        <v>3.5729597907990325</v>
      </c>
      <c r="BL201">
        <f>_xlfn.FLOOR.MATH((AF201-BK201)/5)</f>
        <v>3</v>
      </c>
    </row>
    <row r="202" spans="1:64">
      <c r="A202" t="s">
        <v>475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1</v>
      </c>
      <c r="J202">
        <v>2</v>
      </c>
      <c r="K202">
        <v>0</v>
      </c>
      <c r="L202">
        <v>0</v>
      </c>
      <c r="M202">
        <v>4</v>
      </c>
      <c r="N202">
        <v>3</v>
      </c>
      <c r="O202">
        <v>0</v>
      </c>
      <c r="P202">
        <v>5</v>
      </c>
      <c r="Q202">
        <v>11</v>
      </c>
      <c r="R202">
        <v>4</v>
      </c>
      <c r="S202">
        <v>7</v>
      </c>
      <c r="T202">
        <v>1</v>
      </c>
      <c r="U202">
        <v>1</v>
      </c>
      <c r="V202">
        <v>1</v>
      </c>
      <c r="W202">
        <v>2</v>
      </c>
      <c r="X202">
        <v>0</v>
      </c>
      <c r="Y202">
        <v>2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f>SUMPRODUCT($B$1:$AE$1,B202:AE202)/SUM(B202:AE202)</f>
        <v>16.136363636363637</v>
      </c>
      <c r="AG202">
        <f>B202*(B$1-$AF202)^2</f>
        <v>0</v>
      </c>
      <c r="AH202">
        <f>C202*(C$1-$AF202)^2</f>
        <v>0</v>
      </c>
      <c r="AI202">
        <f>D202*(D$1-$AF202)^2</f>
        <v>0</v>
      </c>
      <c r="AJ202">
        <f>E202*(E$1-$AF202)^2</f>
        <v>0</v>
      </c>
      <c r="AK202">
        <f>F202*(F$1-$AF202)^2</f>
        <v>0</v>
      </c>
      <c r="AL202">
        <f>G202*(G$1-$AF202)^2</f>
        <v>0</v>
      </c>
      <c r="AM202">
        <f>H202*(H$1-$AF202)^2</f>
        <v>0</v>
      </c>
      <c r="AN202">
        <f>I202*(I$1-$AF202)^2</f>
        <v>66.200413223140501</v>
      </c>
      <c r="AO202">
        <f>J202*(J$1-$AF202)^2</f>
        <v>101.85537190082646</v>
      </c>
      <c r="AP202">
        <f>K202*(K$1-$AF202)^2</f>
        <v>0</v>
      </c>
      <c r="AQ202">
        <f>L202*(L$1-$AF202)^2</f>
        <v>0</v>
      </c>
      <c r="AR202">
        <f>M202*(M$1-$AF202)^2</f>
        <v>68.43801652892563</v>
      </c>
      <c r="AS202">
        <f>N202*(N$1-$AF202)^2</f>
        <v>29.510330578512402</v>
      </c>
      <c r="AT202">
        <f>O202*(O$1-$AF202)^2</f>
        <v>0</v>
      </c>
      <c r="AU202">
        <f>P202*(P$1-$AF202)^2</f>
        <v>6.4566115702479374</v>
      </c>
      <c r="AV202">
        <f>Q202*(Q$1-$AF202)^2</f>
        <v>0.2045454545454555</v>
      </c>
      <c r="AW202">
        <f>R202*(R$1-$AF202)^2</f>
        <v>2.9834710743801631</v>
      </c>
      <c r="AX202">
        <f>S202*(S$1-$AF202)^2</f>
        <v>24.31198347107437</v>
      </c>
      <c r="AY202">
        <f>T202*(T$1-$AF202)^2</f>
        <v>8.2004132231404938</v>
      </c>
      <c r="AZ202">
        <f>U202*(U$1-$AF202)^2</f>
        <v>14.92768595041322</v>
      </c>
      <c r="BA202">
        <f>V202*(V$1-$AF202)^2</f>
        <v>23.654958677685947</v>
      </c>
      <c r="BB202">
        <f>W202*(W$1-$AF202)^2</f>
        <v>68.764462809917347</v>
      </c>
      <c r="BC202">
        <f>X202*(X$1-$AF202)^2</f>
        <v>0</v>
      </c>
      <c r="BD202">
        <f>Y202*(Y$1-$AF202)^2</f>
        <v>123.67355371900825</v>
      </c>
      <c r="BE202">
        <f>Z202*(Z$1-$AF202)^2</f>
        <v>0</v>
      </c>
      <c r="BF202">
        <f>AA202*(AA$1-$AF202)^2</f>
        <v>0</v>
      </c>
      <c r="BG202">
        <f>AB202*(AB$1-$AF202)^2</f>
        <v>0</v>
      </c>
      <c r="BH202">
        <f>AC202*(AC$1-$AF202)^2</f>
        <v>0</v>
      </c>
      <c r="BI202">
        <f>AD202*(AD$1-$AF202)^2</f>
        <v>0</v>
      </c>
      <c r="BJ202">
        <f>AE202*(AE$1-$AF202)^2</f>
        <v>0</v>
      </c>
      <c r="BK202">
        <f>SQRT(SUM(AG202:BJ202)/SUM(B202:AE202))</f>
        <v>3.5005902689982098</v>
      </c>
      <c r="BL202">
        <f>_xlfn.FLOOR.MATH((AF202-BK202)/5)</f>
        <v>2</v>
      </c>
    </row>
    <row r="203" spans="1:64">
      <c r="A203" t="s">
        <v>476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7</v>
      </c>
      <c r="H203">
        <v>11</v>
      </c>
      <c r="I203">
        <v>14</v>
      </c>
      <c r="J203">
        <v>14</v>
      </c>
      <c r="K203">
        <v>24</v>
      </c>
      <c r="L203">
        <v>26</v>
      </c>
      <c r="M203">
        <v>24</v>
      </c>
      <c r="N203">
        <v>23</v>
      </c>
      <c r="O203">
        <v>20</v>
      </c>
      <c r="P203">
        <v>17</v>
      </c>
      <c r="Q203">
        <v>20</v>
      </c>
      <c r="R203">
        <v>22</v>
      </c>
      <c r="S203">
        <v>15</v>
      </c>
      <c r="T203">
        <v>30</v>
      </c>
      <c r="U203">
        <v>21</v>
      </c>
      <c r="V203">
        <v>16</v>
      </c>
      <c r="W203">
        <v>11</v>
      </c>
      <c r="X203">
        <v>9</v>
      </c>
      <c r="Y203">
        <v>3</v>
      </c>
      <c r="Z203">
        <v>6</v>
      </c>
      <c r="AA203">
        <v>6</v>
      </c>
      <c r="AB203">
        <v>0</v>
      </c>
      <c r="AC203">
        <v>1</v>
      </c>
      <c r="AD203">
        <v>1</v>
      </c>
      <c r="AE203">
        <v>1</v>
      </c>
      <c r="AF203">
        <f>SUMPRODUCT($B$1:$AE$1,B203:AE203)/SUM(B203:AE203)</f>
        <v>15.230994152046783</v>
      </c>
      <c r="AG203">
        <f>B203*(B$1-$AF203)^2</f>
        <v>0</v>
      </c>
      <c r="AH203">
        <f>C203*(C$1-$AF203)^2</f>
        <v>0</v>
      </c>
      <c r="AI203">
        <f>D203*(D$1-$AF203)^2</f>
        <v>0</v>
      </c>
      <c r="AJ203">
        <f>E203*(E$1-$AF203)^2</f>
        <v>0</v>
      </c>
      <c r="AK203">
        <f>F203*(F$1-$AF203)^2</f>
        <v>0</v>
      </c>
      <c r="AL203">
        <f>G203*(G$1-$AF203)^2</f>
        <v>596.47877124585341</v>
      </c>
      <c r="AM203">
        <f>H203*(H$1-$AF203)^2</f>
        <v>745.24191204131182</v>
      </c>
      <c r="AN203">
        <f>I203*(I$1-$AF203)^2</f>
        <v>732.02186997708679</v>
      </c>
      <c r="AO203">
        <f>J203*(J$1-$AF203)^2</f>
        <v>543.55403371977695</v>
      </c>
      <c r="AP203">
        <f>K203*(K$1-$AF203)^2</f>
        <v>656.71919564994346</v>
      </c>
      <c r="AQ203">
        <f>L203*(L$1-$AF203)^2</f>
        <v>465.43409938100598</v>
      </c>
      <c r="AR203">
        <f>M203*(M$1-$AF203)^2</f>
        <v>250.54375705345228</v>
      </c>
      <c r="AS203">
        <f>N203*(N$1-$AF203)^2</f>
        <v>114.47870284873973</v>
      </c>
      <c r="AT203">
        <f>O203*(O$1-$AF203)^2</f>
        <v>30.306932047467573</v>
      </c>
      <c r="AU203">
        <f>P203*(P$1-$AF203)^2</f>
        <v>0.90709107075680984</v>
      </c>
      <c r="AV203">
        <f>Q203*(Q$1-$AF203)^2</f>
        <v>11.827399883724922</v>
      </c>
      <c r="AW203">
        <f>R203*(R$1-$AF203)^2</f>
        <v>68.846397182038956</v>
      </c>
      <c r="AX203">
        <f>S203*(S$1-$AF203)^2</f>
        <v>115.01090078998671</v>
      </c>
      <c r="AY203">
        <f>T203*(T$1-$AF203)^2</f>
        <v>426.16215245716643</v>
      </c>
      <c r="AZ203">
        <f>U203*(U$1-$AF203)^2</f>
        <v>477.61175233405157</v>
      </c>
      <c r="BA203">
        <f>V203*(V$1-$AF203)^2</f>
        <v>532.50285557949462</v>
      </c>
      <c r="BB203">
        <f>W203*(W$1-$AF203)^2</f>
        <v>504.0138418658733</v>
      </c>
      <c r="BC203">
        <f>X203*(X$1-$AF203)^2</f>
        <v>543.21706678978148</v>
      </c>
      <c r="BD203">
        <f>Y203*(Y$1-$AF203)^2</f>
        <v>230.68639068431315</v>
      </c>
      <c r="BE203">
        <f>Z203*(Z$1-$AF203)^2</f>
        <v>572.60085154406488</v>
      </c>
      <c r="BF203">
        <f>AA203*(AA$1-$AF203)^2</f>
        <v>695.82892171950357</v>
      </c>
      <c r="BG203">
        <f>AB203*(AB$1-$AF203)^2</f>
        <v>0</v>
      </c>
      <c r="BH203">
        <f>AC203*(AC$1-$AF203)^2</f>
        <v>163.04751034506344</v>
      </c>
      <c r="BI203">
        <f>AD203*(AD$1-$AF203)^2</f>
        <v>189.58552204096989</v>
      </c>
      <c r="BJ203">
        <f>AE203*(AE$1-$AF203)^2</f>
        <v>218.12353373687631</v>
      </c>
      <c r="BK203">
        <f>SQRT(SUM(AG203:BJ203)/SUM(B203:AE203))</f>
        <v>5.0969407927118642</v>
      </c>
      <c r="BL203">
        <f>_xlfn.FLOOR.MATH((AF203-BK203)/5)</f>
        <v>2</v>
      </c>
    </row>
    <row r="204" spans="1:64">
      <c r="A204" t="s">
        <v>477</v>
      </c>
      <c r="B204">
        <v>0</v>
      </c>
      <c r="C204">
        <v>0</v>
      </c>
      <c r="D204">
        <v>0</v>
      </c>
      <c r="E204">
        <v>0</v>
      </c>
      <c r="F204">
        <v>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f>SUMPRODUCT($B$1:$AE$1,B204:AE204)/SUM(B204:AE204)</f>
        <v>12.6</v>
      </c>
      <c r="AG204">
        <f>B204*(B$1-$AF204)^2</f>
        <v>0</v>
      </c>
      <c r="AH204">
        <f>C204*(C$1-$AF204)^2</f>
        <v>0</v>
      </c>
      <c r="AI204">
        <f>D204*(D$1-$AF204)^2</f>
        <v>0</v>
      </c>
      <c r="AJ204">
        <f>E204*(E$1-$AF204)^2</f>
        <v>0</v>
      </c>
      <c r="AK204">
        <f>F204*(F$1-$AF204)^2</f>
        <v>115.52</v>
      </c>
      <c r="AL204">
        <f>G204*(G$1-$AF204)^2</f>
        <v>0</v>
      </c>
      <c r="AM204">
        <f>H204*(H$1-$AF204)^2</f>
        <v>0</v>
      </c>
      <c r="AN204">
        <f>I204*(I$1-$AF204)^2</f>
        <v>0</v>
      </c>
      <c r="AO204">
        <f>J204*(J$1-$AF204)^2</f>
        <v>0</v>
      </c>
      <c r="AP204">
        <f>K204*(K$1-$AF204)^2</f>
        <v>0</v>
      </c>
      <c r="AQ204">
        <f>L204*(L$1-$AF204)^2</f>
        <v>2.5599999999999987</v>
      </c>
      <c r="AR204">
        <f>M204*(M$1-$AF204)^2</f>
        <v>0</v>
      </c>
      <c r="AS204">
        <f>N204*(N$1-$AF204)^2</f>
        <v>0</v>
      </c>
      <c r="AT204">
        <f>O204*(O$1-$AF204)^2</f>
        <v>0</v>
      </c>
      <c r="AU204">
        <f>P204*(P$1-$AF204)^2</f>
        <v>0</v>
      </c>
      <c r="AV204">
        <f>Q204*(Q$1-$AF204)^2</f>
        <v>0</v>
      </c>
      <c r="AW204">
        <f>R204*(R$1-$AF204)^2</f>
        <v>19.360000000000003</v>
      </c>
      <c r="AX204">
        <f>S204*(S$1-$AF204)^2</f>
        <v>0</v>
      </c>
      <c r="AY204">
        <f>T204*(T$1-$AF204)^2</f>
        <v>0</v>
      </c>
      <c r="AZ204">
        <f>U204*(U$1-$AF204)^2</f>
        <v>0</v>
      </c>
      <c r="BA204">
        <f>V204*(V$1-$AF204)^2</f>
        <v>0</v>
      </c>
      <c r="BB204">
        <f>W204*(W$1-$AF204)^2</f>
        <v>0</v>
      </c>
      <c r="BC204">
        <f>X204*(X$1-$AF204)^2</f>
        <v>0</v>
      </c>
      <c r="BD204">
        <f>Y204*(Y$1-$AF204)^2</f>
        <v>0</v>
      </c>
      <c r="BE204">
        <f>Z204*(Z$1-$AF204)^2</f>
        <v>153.76000000000002</v>
      </c>
      <c r="BF204">
        <f>AA204*(AA$1-$AF204)^2</f>
        <v>0</v>
      </c>
      <c r="BG204">
        <f>AB204*(AB$1-$AF204)^2</f>
        <v>0</v>
      </c>
      <c r="BH204">
        <f>AC204*(AC$1-$AF204)^2</f>
        <v>0</v>
      </c>
      <c r="BI204">
        <f>AD204*(AD$1-$AF204)^2</f>
        <v>0</v>
      </c>
      <c r="BJ204">
        <f>AE204*(AE$1-$AF204)^2</f>
        <v>0</v>
      </c>
      <c r="BK204">
        <f>SQRT(SUM(AG204:BJ204)/SUM(B204:AE204))</f>
        <v>7.6315136113355662</v>
      </c>
      <c r="BL204">
        <f>_xlfn.FLOOR.MATH((AF204-BK204)/5)</f>
        <v>0</v>
      </c>
    </row>
    <row r="205" spans="1:64">
      <c r="A205" t="s">
        <v>478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3</v>
      </c>
      <c r="X205">
        <v>0</v>
      </c>
      <c r="Y205">
        <v>3</v>
      </c>
      <c r="Z205">
        <v>1</v>
      </c>
      <c r="AA205">
        <v>1</v>
      </c>
      <c r="AB205">
        <v>1</v>
      </c>
      <c r="AC205">
        <v>2</v>
      </c>
      <c r="AD205">
        <v>1</v>
      </c>
      <c r="AE205">
        <v>0</v>
      </c>
      <c r="AF205">
        <f>SUMPRODUCT($B$1:$AE$1,B205:AE205)/SUM(B205:AE205)</f>
        <v>23.923076923076923</v>
      </c>
      <c r="AG205">
        <f>B205*(B$1-$AF205)^2</f>
        <v>0</v>
      </c>
      <c r="AH205">
        <f>C205*(C$1-$AF205)^2</f>
        <v>0</v>
      </c>
      <c r="AI205">
        <f>D205*(D$1-$AF205)^2</f>
        <v>0</v>
      </c>
      <c r="AJ205">
        <f>E205*(E$1-$AF205)^2</f>
        <v>0</v>
      </c>
      <c r="AK205">
        <f>F205*(F$1-$AF205)^2</f>
        <v>0</v>
      </c>
      <c r="AL205">
        <f>G205*(G$1-$AF205)^2</f>
        <v>0</v>
      </c>
      <c r="AM205">
        <f>H205*(H$1-$AF205)^2</f>
        <v>0</v>
      </c>
      <c r="AN205">
        <f>I205*(I$1-$AF205)^2</f>
        <v>0</v>
      </c>
      <c r="AO205">
        <f>J205*(J$1-$AF205)^2</f>
        <v>0</v>
      </c>
      <c r="AP205">
        <f>K205*(K$1-$AF205)^2</f>
        <v>193.85207100591717</v>
      </c>
      <c r="AQ205">
        <f>L205*(L$1-$AF205)^2</f>
        <v>0</v>
      </c>
      <c r="AR205">
        <f>M205*(M$1-$AF205)^2</f>
        <v>0</v>
      </c>
      <c r="AS205">
        <f>N205*(N$1-$AF205)^2</f>
        <v>0</v>
      </c>
      <c r="AT205">
        <f>O205*(O$1-$AF205)^2</f>
        <v>0</v>
      </c>
      <c r="AU205">
        <f>P205*(P$1-$AF205)^2</f>
        <v>0</v>
      </c>
      <c r="AV205">
        <f>Q205*(Q$1-$AF205)^2</f>
        <v>0</v>
      </c>
      <c r="AW205">
        <f>R205*(R$1-$AF205)^2</f>
        <v>0</v>
      </c>
      <c r="AX205">
        <f>S205*(S$1-$AF205)^2</f>
        <v>0</v>
      </c>
      <c r="AY205">
        <f>T205*(T$1-$AF205)^2</f>
        <v>0</v>
      </c>
      <c r="AZ205">
        <f>U205*(U$1-$AF205)^2</f>
        <v>0</v>
      </c>
      <c r="BA205">
        <f>V205*(V$1-$AF205)^2</f>
        <v>0</v>
      </c>
      <c r="BB205">
        <f>W205*(W$1-$AF205)^2</f>
        <v>11.09467455621302</v>
      </c>
      <c r="BC205">
        <f>X205*(X$1-$AF205)^2</f>
        <v>0</v>
      </c>
      <c r="BD205">
        <f>Y205*(Y$1-$AF205)^2</f>
        <v>1.7751479289940704E-2</v>
      </c>
      <c r="BE205">
        <f>Z205*(Z$1-$AF205)^2</f>
        <v>1.1597633136094669</v>
      </c>
      <c r="BF205">
        <f>AA205*(AA$1-$AF205)^2</f>
        <v>4.3136094674556205</v>
      </c>
      <c r="BG205">
        <f>AB205*(AB$1-$AF205)^2</f>
        <v>9.4674556213017738</v>
      </c>
      <c r="BH205">
        <f>AC205*(AC$1-$AF205)^2</f>
        <v>33.242603550295854</v>
      </c>
      <c r="BI205">
        <f>AD205*(AD$1-$AF205)^2</f>
        <v>25.77514792899408</v>
      </c>
      <c r="BJ205">
        <f>AE205*(AE$1-$AF205)^2</f>
        <v>0</v>
      </c>
      <c r="BK205">
        <f>SQRT(SUM(AG205:BJ205)/SUM(B205:AE205))</f>
        <v>4.632021297638337</v>
      </c>
      <c r="BL205">
        <f>_xlfn.FLOOR.MATH((AF205-BK205)/5)</f>
        <v>3</v>
      </c>
    </row>
    <row r="206" spans="1:64">
      <c r="A206" t="s">
        <v>479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</v>
      </c>
      <c r="R206">
        <v>1</v>
      </c>
      <c r="S206">
        <v>1</v>
      </c>
      <c r="T206">
        <v>1</v>
      </c>
      <c r="U206">
        <v>0</v>
      </c>
      <c r="V206">
        <v>0</v>
      </c>
      <c r="W206">
        <v>0</v>
      </c>
      <c r="X206">
        <v>3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f>SUMPRODUCT($B$1:$AE$1,B206:AE206)/SUM(B206:AE206)</f>
        <v>19.375</v>
      </c>
      <c r="AG206">
        <f>B206*(B$1-$AF206)^2</f>
        <v>0</v>
      </c>
      <c r="AH206">
        <f>C206*(C$1-$AF206)^2</f>
        <v>0</v>
      </c>
      <c r="AI206">
        <f>D206*(D$1-$AF206)^2</f>
        <v>0</v>
      </c>
      <c r="AJ206">
        <f>E206*(E$1-$AF206)^2</f>
        <v>0</v>
      </c>
      <c r="AK206">
        <f>F206*(F$1-$AF206)^2</f>
        <v>0</v>
      </c>
      <c r="AL206">
        <f>G206*(G$1-$AF206)^2</f>
        <v>0</v>
      </c>
      <c r="AM206">
        <f>H206*(H$1-$AF206)^2</f>
        <v>0</v>
      </c>
      <c r="AN206">
        <f>I206*(I$1-$AF206)^2</f>
        <v>0</v>
      </c>
      <c r="AO206">
        <f>J206*(J$1-$AF206)^2</f>
        <v>0</v>
      </c>
      <c r="AP206">
        <f>K206*(K$1-$AF206)^2</f>
        <v>0</v>
      </c>
      <c r="AQ206">
        <f>L206*(L$1-$AF206)^2</f>
        <v>0</v>
      </c>
      <c r="AR206">
        <f>M206*(M$1-$AF206)^2</f>
        <v>0</v>
      </c>
      <c r="AS206">
        <f>N206*(N$1-$AF206)^2</f>
        <v>0</v>
      </c>
      <c r="AT206">
        <f>O206*(O$1-$AF206)^2</f>
        <v>0</v>
      </c>
      <c r="AU206">
        <f>P206*(P$1-$AF206)^2</f>
        <v>0</v>
      </c>
      <c r="AV206">
        <f>Q206*(Q$1-$AF206)^2</f>
        <v>22.78125</v>
      </c>
      <c r="AW206">
        <f>R206*(R$1-$AF206)^2</f>
        <v>5.640625</v>
      </c>
      <c r="AX206">
        <f>S206*(S$1-$AF206)^2</f>
        <v>1.890625</v>
      </c>
      <c r="AY206">
        <f>T206*(T$1-$AF206)^2</f>
        <v>0.140625</v>
      </c>
      <c r="AZ206">
        <f>U206*(U$1-$AF206)^2</f>
        <v>0</v>
      </c>
      <c r="BA206">
        <f>V206*(V$1-$AF206)^2</f>
        <v>0</v>
      </c>
      <c r="BB206">
        <f>W206*(W$1-$AF206)^2</f>
        <v>0</v>
      </c>
      <c r="BC206">
        <f>X206*(X$1-$AF206)^2</f>
        <v>39.421875</v>
      </c>
      <c r="BD206">
        <f>Y206*(Y$1-$AF206)^2</f>
        <v>0</v>
      </c>
      <c r="BE206">
        <f>Z206*(Z$1-$AF206)^2</f>
        <v>0</v>
      </c>
      <c r="BF206">
        <f>AA206*(AA$1-$AF206)^2</f>
        <v>0</v>
      </c>
      <c r="BG206">
        <f>AB206*(AB$1-$AF206)^2</f>
        <v>0</v>
      </c>
      <c r="BH206">
        <f>AC206*(AC$1-$AF206)^2</f>
        <v>0</v>
      </c>
      <c r="BI206">
        <f>AD206*(AD$1-$AF206)^2</f>
        <v>0</v>
      </c>
      <c r="BJ206">
        <f>AE206*(AE$1-$AF206)^2</f>
        <v>0</v>
      </c>
      <c r="BK206">
        <f>SQRT(SUM(AG206:BJ206)/SUM(B206:AE206))</f>
        <v>2.9553976043842223</v>
      </c>
      <c r="BL206">
        <f>_xlfn.FLOOR.MATH((AF206-BK206)/5)</f>
        <v>3</v>
      </c>
    </row>
  </sheetData>
  <autoFilter ref="A1:BL206" xr:uid="{3D37DE83-ABA4-42D9-834D-1C766280365B}">
    <sortState xmlns:xlrd2="http://schemas.microsoft.com/office/spreadsheetml/2017/richdata2" ref="A2:BL206">
      <sortCondition ref="A1:A206"/>
    </sortState>
  </autoFilter>
  <phoneticPr fontId="3" type="noConversion"/>
  <conditionalFormatting sqref="AF2:AF2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2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2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1000"/>
  <sheetViews>
    <sheetView workbookViewId="0">
      <selection activeCell="F2" sqref="F2"/>
    </sheetView>
  </sheetViews>
  <sheetFormatPr defaultColWidth="14.42578125" defaultRowHeight="15" customHeight="1"/>
  <cols>
    <col min="1" max="1" width="49.140625" bestFit="1" customWidth="1"/>
    <col min="2" max="3" width="8.7109375" customWidth="1"/>
    <col min="4" max="4" width="29.7109375" customWidth="1"/>
    <col min="5" max="19" width="8.7109375" customWidth="1"/>
  </cols>
  <sheetData>
    <row r="1" spans="1:7" ht="16.5" customHeight="1">
      <c r="B1" s="2">
        <f t="shared" ref="B1" si="0">0</f>
        <v>0</v>
      </c>
    </row>
    <row r="2" spans="1:7" ht="16.5" customHeight="1">
      <c r="A2" s="2" t="str">
        <f>IF(COUNTIF(D:D,database!D2), database!G2, "")</f>
        <v/>
      </c>
      <c r="B2" s="2" t="e">
        <f>FIND("#", $F$2, B1 +1)</f>
        <v>#VALUE!</v>
      </c>
      <c r="C2" t="e">
        <f>FIND(" ",SUBSTITUTE($F$2, CHAR(10), " "),calc!B2)</f>
        <v>#VALUE!</v>
      </c>
      <c r="D2" t="e">
        <f>MID($F$2,calc!B2,calc!C2-calc!B2)</f>
        <v>#VALUE!</v>
      </c>
      <c r="F2" s="16"/>
      <c r="G2" t="str">
        <f>_xlfn.TEXTJOIN(CHAR(10),TRUE,A:A)</f>
        <v/>
      </c>
    </row>
    <row r="3" spans="1:7" ht="16.5" customHeight="1">
      <c r="A3" s="2" t="str">
        <f>IF(COUNTIF(D:D,database!D3), database!G3, "")</f>
        <v/>
      </c>
      <c r="B3" s="2" t="e">
        <f t="shared" ref="B3:B66" si="1">FIND("#", $F$2, B2 +1)</f>
        <v>#VALUE!</v>
      </c>
      <c r="C3" t="e">
        <f>FIND(" ",SUBSTITUTE($F$2, CHAR(10), " "),calc!B3)</f>
        <v>#VALUE!</v>
      </c>
      <c r="D3" t="e">
        <f>MID($F$2,calc!B3,calc!C3-calc!B3)</f>
        <v>#VALUE!</v>
      </c>
    </row>
    <row r="4" spans="1:7" ht="16.5" customHeight="1">
      <c r="A4" s="2" t="str">
        <f>IF(COUNTIF(D:D,database!D4), database!G4, "")</f>
        <v/>
      </c>
      <c r="B4" s="2" t="e">
        <f t="shared" si="1"/>
        <v>#VALUE!</v>
      </c>
      <c r="C4" t="e">
        <f>FIND(" ",SUBSTITUTE($F$2, CHAR(10), " "),calc!B4)</f>
        <v>#VALUE!</v>
      </c>
      <c r="D4" t="e">
        <f>MID($F$2,calc!B4,calc!C4-calc!B4)</f>
        <v>#VALUE!</v>
      </c>
    </row>
    <row r="5" spans="1:7" ht="16.5" customHeight="1">
      <c r="A5" s="2" t="str">
        <f>IF(COUNTIF(D:D,database!D5), database!G5, "")</f>
        <v/>
      </c>
      <c r="B5" s="2" t="e">
        <f t="shared" si="1"/>
        <v>#VALUE!</v>
      </c>
      <c r="C5" t="e">
        <f>FIND(" ",SUBSTITUTE($F$2, CHAR(10), " "),calc!B5)</f>
        <v>#VALUE!</v>
      </c>
      <c r="D5" t="e">
        <f>MID($F$2,calc!B5,calc!C5-calc!B5)</f>
        <v>#VALUE!</v>
      </c>
    </row>
    <row r="6" spans="1:7" ht="16.5" customHeight="1">
      <c r="A6" s="2" t="str">
        <f>IF(COUNTIF(D:D,database!D6), database!G6, "")</f>
        <v/>
      </c>
      <c r="B6" s="2" t="e">
        <f t="shared" si="1"/>
        <v>#VALUE!</v>
      </c>
      <c r="C6" t="e">
        <f>FIND(" ",SUBSTITUTE($F$2, CHAR(10), " "),calc!B6)</f>
        <v>#VALUE!</v>
      </c>
      <c r="D6" t="e">
        <f>MID($F$2,calc!B6,calc!C6-calc!B6)</f>
        <v>#VALUE!</v>
      </c>
    </row>
    <row r="7" spans="1:7" ht="16.5" customHeight="1">
      <c r="A7" s="2" t="str">
        <f>IF(COUNTIF(D:D,database!D7), database!G7, "")</f>
        <v/>
      </c>
      <c r="B7" s="2" t="e">
        <f t="shared" si="1"/>
        <v>#VALUE!</v>
      </c>
      <c r="C7" t="e">
        <f>FIND(" ",SUBSTITUTE($F$2, CHAR(10), " "),calc!B7)</f>
        <v>#VALUE!</v>
      </c>
      <c r="D7" t="e">
        <f>MID($F$2,calc!B7,calc!C7-calc!B7)</f>
        <v>#VALUE!</v>
      </c>
    </row>
    <row r="8" spans="1:7" ht="16.5" customHeight="1">
      <c r="A8" s="2" t="str">
        <f>IF(COUNTIF(D:D,database!D8), database!G8, "")</f>
        <v/>
      </c>
      <c r="B8" s="2" t="e">
        <f t="shared" si="1"/>
        <v>#VALUE!</v>
      </c>
      <c r="C8" t="e">
        <f>FIND(" ",SUBSTITUTE($F$2, CHAR(10), " "),calc!B8)</f>
        <v>#VALUE!</v>
      </c>
      <c r="D8" t="e">
        <f>MID($F$2,calc!B8,calc!C8-calc!B8)</f>
        <v>#VALUE!</v>
      </c>
    </row>
    <row r="9" spans="1:7" ht="16.5" customHeight="1">
      <c r="A9" s="2" t="str">
        <f>IF(COUNTIF(D:D,database!D9), database!G9, "")</f>
        <v/>
      </c>
      <c r="B9" s="2" t="e">
        <f t="shared" si="1"/>
        <v>#VALUE!</v>
      </c>
      <c r="C9" t="e">
        <f>FIND(" ",SUBSTITUTE($F$2, CHAR(10), " "),calc!B9)</f>
        <v>#VALUE!</v>
      </c>
      <c r="D9" t="e">
        <f>MID($F$2,calc!B9,calc!C9-calc!B9)</f>
        <v>#VALUE!</v>
      </c>
    </row>
    <row r="10" spans="1:7" ht="16.5" customHeight="1">
      <c r="A10" s="2" t="str">
        <f>IF(COUNTIF(D:D,database!D10), database!G10, "")</f>
        <v/>
      </c>
      <c r="B10" s="2" t="e">
        <f t="shared" si="1"/>
        <v>#VALUE!</v>
      </c>
      <c r="C10" t="e">
        <f>FIND(" ",SUBSTITUTE($F$2, CHAR(10), " "),calc!B10)</f>
        <v>#VALUE!</v>
      </c>
      <c r="D10" t="e">
        <f>MID($F$2,calc!B10,calc!C10-calc!B10)</f>
        <v>#VALUE!</v>
      </c>
    </row>
    <row r="11" spans="1:7" ht="16.5" customHeight="1">
      <c r="A11" s="2" t="str">
        <f>IF(COUNTIF(D:D,database!D11), database!G11, "")</f>
        <v/>
      </c>
      <c r="B11" s="2" t="e">
        <f t="shared" si="1"/>
        <v>#VALUE!</v>
      </c>
      <c r="C11" t="e">
        <f>FIND(" ",SUBSTITUTE($F$2, CHAR(10), " "),calc!B11)</f>
        <v>#VALUE!</v>
      </c>
      <c r="D11" t="e">
        <f>MID($F$2,calc!B11,calc!C11-calc!B11)</f>
        <v>#VALUE!</v>
      </c>
    </row>
    <row r="12" spans="1:7" ht="16.5" customHeight="1">
      <c r="A12" s="2" t="str">
        <f>IF(COUNTIF(D:D,database!D12), database!G12, "")</f>
        <v/>
      </c>
      <c r="B12" s="2" t="e">
        <f t="shared" si="1"/>
        <v>#VALUE!</v>
      </c>
      <c r="C12" t="e">
        <f>FIND(" ",SUBSTITUTE($F$2, CHAR(10), " "),calc!B12)</f>
        <v>#VALUE!</v>
      </c>
      <c r="D12" t="e">
        <f>MID($F$2,calc!B12,calc!C12-calc!B12)</f>
        <v>#VALUE!</v>
      </c>
    </row>
    <row r="13" spans="1:7" ht="16.5" customHeight="1">
      <c r="A13" s="2" t="str">
        <f>IF(COUNTIF(D:D,database!D13), database!G13, "")</f>
        <v/>
      </c>
      <c r="B13" s="2" t="e">
        <f t="shared" si="1"/>
        <v>#VALUE!</v>
      </c>
      <c r="C13" t="e">
        <f>FIND(" ",SUBSTITUTE($F$2, CHAR(10), " "),calc!B13)</f>
        <v>#VALUE!</v>
      </c>
      <c r="D13" t="e">
        <f>MID($F$2,calc!B13,calc!C13-calc!B13)</f>
        <v>#VALUE!</v>
      </c>
    </row>
    <row r="14" spans="1:7" ht="16.5" customHeight="1">
      <c r="A14" s="2" t="str">
        <f>IF(COUNTIF(D:D,database!D14), database!G14, "")</f>
        <v/>
      </c>
      <c r="B14" s="2" t="e">
        <f t="shared" si="1"/>
        <v>#VALUE!</v>
      </c>
      <c r="C14" t="e">
        <f>FIND(" ",SUBSTITUTE($F$2, CHAR(10), " "),calc!B14)</f>
        <v>#VALUE!</v>
      </c>
      <c r="D14" t="e">
        <f>MID($F$2,calc!B14,calc!C14-calc!B14)</f>
        <v>#VALUE!</v>
      </c>
    </row>
    <row r="15" spans="1:7" ht="16.5" customHeight="1">
      <c r="A15" s="2" t="str">
        <f>IF(COUNTIF(D:D,database!D15), database!G15, "")</f>
        <v/>
      </c>
      <c r="B15" s="2" t="e">
        <f t="shared" si="1"/>
        <v>#VALUE!</v>
      </c>
      <c r="C15" t="e">
        <f>FIND(" ",SUBSTITUTE($F$2, CHAR(10), " "),calc!B15)</f>
        <v>#VALUE!</v>
      </c>
      <c r="D15" t="e">
        <f>MID($F$2,calc!B15,calc!C15-calc!B15)</f>
        <v>#VALUE!</v>
      </c>
    </row>
    <row r="16" spans="1:7" ht="16.5" customHeight="1">
      <c r="A16" s="2" t="str">
        <f>IF(COUNTIF(D:D,database!D16), database!G16, "")</f>
        <v/>
      </c>
      <c r="B16" s="2" t="e">
        <f t="shared" si="1"/>
        <v>#VALUE!</v>
      </c>
      <c r="C16" t="e">
        <f>FIND(" ",SUBSTITUTE($F$2, CHAR(10), " "),calc!B16)</f>
        <v>#VALUE!</v>
      </c>
      <c r="D16" t="e">
        <f>MID($F$2,calc!B16,calc!C16-calc!B16)</f>
        <v>#VALUE!</v>
      </c>
    </row>
    <row r="17" spans="1:4" ht="16.5" customHeight="1">
      <c r="A17" s="2" t="str">
        <f>IF(COUNTIF(D:D,database!D17), database!G17, "")</f>
        <v/>
      </c>
      <c r="B17" s="2" t="e">
        <f t="shared" si="1"/>
        <v>#VALUE!</v>
      </c>
      <c r="C17" t="e">
        <f>FIND(" ",SUBSTITUTE($F$2, CHAR(10), " "),calc!B17)</f>
        <v>#VALUE!</v>
      </c>
      <c r="D17" t="e">
        <f>MID($F$2,calc!B17,calc!C17-calc!B17)</f>
        <v>#VALUE!</v>
      </c>
    </row>
    <row r="18" spans="1:4" ht="16.5" customHeight="1">
      <c r="A18" s="2" t="str">
        <f>IF(COUNTIF(D:D,database!D18), database!G18, "")</f>
        <v/>
      </c>
      <c r="B18" s="2" t="e">
        <f t="shared" si="1"/>
        <v>#VALUE!</v>
      </c>
      <c r="C18" t="e">
        <f>FIND(" ",SUBSTITUTE($F$2, CHAR(10), " "),calc!B18)</f>
        <v>#VALUE!</v>
      </c>
      <c r="D18" t="e">
        <f>MID($F$2,calc!B18,calc!C18-calc!B18)</f>
        <v>#VALUE!</v>
      </c>
    </row>
    <row r="19" spans="1:4" ht="16.5" customHeight="1">
      <c r="A19" s="2" t="str">
        <f>IF(COUNTIF(D:D,database!D19), database!G19, "")</f>
        <v/>
      </c>
      <c r="B19" s="2" t="e">
        <f t="shared" si="1"/>
        <v>#VALUE!</v>
      </c>
      <c r="C19" t="e">
        <f>FIND(" ",SUBSTITUTE($F$2, CHAR(10), " "),calc!B19)</f>
        <v>#VALUE!</v>
      </c>
      <c r="D19" t="e">
        <f>MID($F$2,calc!B19,calc!C19-calc!B19)</f>
        <v>#VALUE!</v>
      </c>
    </row>
    <row r="20" spans="1:4" ht="16.5" customHeight="1">
      <c r="A20" s="2" t="str">
        <f>IF(COUNTIF(D:D,database!D20), database!G20, "")</f>
        <v/>
      </c>
      <c r="B20" s="2" t="e">
        <f t="shared" si="1"/>
        <v>#VALUE!</v>
      </c>
      <c r="C20" t="e">
        <f>FIND(" ",SUBSTITUTE($F$2, CHAR(10), " "),calc!B20)</f>
        <v>#VALUE!</v>
      </c>
      <c r="D20" t="e">
        <f>MID($F$2,calc!B20,calc!C20-calc!B20)</f>
        <v>#VALUE!</v>
      </c>
    </row>
    <row r="21" spans="1:4" ht="16.5" customHeight="1">
      <c r="A21" s="2" t="str">
        <f>IF(COUNTIF(D:D,database!D21), database!G21, "")</f>
        <v/>
      </c>
      <c r="B21" s="2" t="e">
        <f t="shared" si="1"/>
        <v>#VALUE!</v>
      </c>
      <c r="C21" t="e">
        <f>FIND(" ",SUBSTITUTE($F$2, CHAR(10), " "),calc!B21)</f>
        <v>#VALUE!</v>
      </c>
      <c r="D21" t="e">
        <f>MID($F$2,calc!B21,calc!C21-calc!B21)</f>
        <v>#VALUE!</v>
      </c>
    </row>
    <row r="22" spans="1:4" ht="16.5" customHeight="1">
      <c r="A22" s="2" t="str">
        <f>IF(COUNTIF(D:D,database!D22), database!G22, "")</f>
        <v/>
      </c>
      <c r="B22" s="2" t="e">
        <f t="shared" si="1"/>
        <v>#VALUE!</v>
      </c>
      <c r="C22" t="e">
        <f>FIND(" ",SUBSTITUTE($F$2, CHAR(10), " "),calc!B22)</f>
        <v>#VALUE!</v>
      </c>
      <c r="D22" t="e">
        <f>MID($F$2,calc!B22,calc!C22-calc!B22)</f>
        <v>#VALUE!</v>
      </c>
    </row>
    <row r="23" spans="1:4" ht="16.5" customHeight="1">
      <c r="A23" s="2" t="str">
        <f>IF(COUNTIF(D:D,database!D23), database!G23, "")</f>
        <v/>
      </c>
      <c r="B23" s="2" t="e">
        <f t="shared" si="1"/>
        <v>#VALUE!</v>
      </c>
      <c r="C23" t="e">
        <f>FIND(" ",SUBSTITUTE($F$2, CHAR(10), " "),calc!B23)</f>
        <v>#VALUE!</v>
      </c>
      <c r="D23" t="e">
        <f>MID($F$2,calc!B23,calc!C23-calc!B23)</f>
        <v>#VALUE!</v>
      </c>
    </row>
    <row r="24" spans="1:4" ht="16.5" customHeight="1">
      <c r="A24" s="2" t="str">
        <f>IF(COUNTIF(D:D,database!D24), database!G24, "")</f>
        <v/>
      </c>
      <c r="B24" s="2" t="e">
        <f t="shared" si="1"/>
        <v>#VALUE!</v>
      </c>
      <c r="C24" t="e">
        <f>FIND(" ",SUBSTITUTE($F$2, CHAR(10), " "),calc!B24)</f>
        <v>#VALUE!</v>
      </c>
      <c r="D24" t="e">
        <f>MID($F$2,calc!B24,calc!C24-calc!B24)</f>
        <v>#VALUE!</v>
      </c>
    </row>
    <row r="25" spans="1:4" ht="16.5" customHeight="1">
      <c r="A25" s="2" t="str">
        <f>IF(COUNTIF(D:D,database!D25), database!G25, "")</f>
        <v/>
      </c>
      <c r="B25" s="2" t="e">
        <f t="shared" si="1"/>
        <v>#VALUE!</v>
      </c>
      <c r="C25" t="e">
        <f>FIND(" ",SUBSTITUTE($F$2, CHAR(10), " "),calc!B25)</f>
        <v>#VALUE!</v>
      </c>
      <c r="D25" t="e">
        <f>MID($F$2,calc!B25,calc!C25-calc!B25)</f>
        <v>#VALUE!</v>
      </c>
    </row>
    <row r="26" spans="1:4" ht="16.5" customHeight="1">
      <c r="A26" s="2" t="str">
        <f>IF(COUNTIF(D:D,database!D26), database!G26, "")</f>
        <v/>
      </c>
      <c r="B26" s="2" t="e">
        <f t="shared" si="1"/>
        <v>#VALUE!</v>
      </c>
      <c r="C26" t="e">
        <f>FIND(" ",SUBSTITUTE($F$2, CHAR(10), " "),calc!B26)</f>
        <v>#VALUE!</v>
      </c>
      <c r="D26" t="e">
        <f>MID($F$2,calc!B26,calc!C26-calc!B26)</f>
        <v>#VALUE!</v>
      </c>
    </row>
    <row r="27" spans="1:4" ht="16.5" customHeight="1">
      <c r="A27" s="2" t="str">
        <f>IF(COUNTIF(D:D,database!D27), database!G27, "")</f>
        <v/>
      </c>
      <c r="B27" s="2" t="e">
        <f t="shared" si="1"/>
        <v>#VALUE!</v>
      </c>
      <c r="C27" t="e">
        <f>FIND(" ",SUBSTITUTE($F$2, CHAR(10), " "),calc!B27)</f>
        <v>#VALUE!</v>
      </c>
      <c r="D27" t="e">
        <f>MID($F$2,calc!B27,calc!C27-calc!B27)</f>
        <v>#VALUE!</v>
      </c>
    </row>
    <row r="28" spans="1:4" ht="16.5" customHeight="1">
      <c r="A28" s="2" t="str">
        <f>IF(COUNTIF(D:D,database!D28), database!G28, "")</f>
        <v/>
      </c>
      <c r="B28" s="2" t="e">
        <f t="shared" si="1"/>
        <v>#VALUE!</v>
      </c>
      <c r="C28" t="e">
        <f>FIND(" ",SUBSTITUTE($F$2, CHAR(10), " "),calc!B28)</f>
        <v>#VALUE!</v>
      </c>
      <c r="D28" t="e">
        <f>MID($F$2,calc!B28,calc!C28-calc!B28)</f>
        <v>#VALUE!</v>
      </c>
    </row>
    <row r="29" spans="1:4" ht="16.5" customHeight="1">
      <c r="A29" s="2" t="str">
        <f>IF(COUNTIF(D:D,database!D29), database!G29, "")</f>
        <v/>
      </c>
      <c r="B29" s="2" t="e">
        <f t="shared" si="1"/>
        <v>#VALUE!</v>
      </c>
      <c r="C29" t="e">
        <f>FIND(" ",SUBSTITUTE($F$2, CHAR(10), " "),calc!B29)</f>
        <v>#VALUE!</v>
      </c>
      <c r="D29" t="e">
        <f>MID($F$2,calc!B29,calc!C29-calc!B29)</f>
        <v>#VALUE!</v>
      </c>
    </row>
    <row r="30" spans="1:4" ht="16.5" customHeight="1">
      <c r="A30" s="2" t="str">
        <f>IF(COUNTIF(D:D,database!D30), database!G30, "")</f>
        <v/>
      </c>
      <c r="B30" s="2" t="e">
        <f t="shared" si="1"/>
        <v>#VALUE!</v>
      </c>
      <c r="C30" t="e">
        <f>FIND(" ",SUBSTITUTE($F$2, CHAR(10), " "),calc!B30)</f>
        <v>#VALUE!</v>
      </c>
      <c r="D30" t="e">
        <f>MID($F$2,calc!B30,calc!C30-calc!B30)</f>
        <v>#VALUE!</v>
      </c>
    </row>
    <row r="31" spans="1:4" ht="16.5" customHeight="1">
      <c r="A31" s="2" t="str">
        <f>IF(COUNTIF(D:D,database!D31), database!G31, "")</f>
        <v/>
      </c>
      <c r="B31" s="2" t="e">
        <f t="shared" si="1"/>
        <v>#VALUE!</v>
      </c>
      <c r="C31" t="e">
        <f>FIND(" ",SUBSTITUTE($F$2, CHAR(10), " "),calc!B31)</f>
        <v>#VALUE!</v>
      </c>
      <c r="D31" t="e">
        <f>MID($F$2,calc!B31,calc!C31-calc!B31)</f>
        <v>#VALUE!</v>
      </c>
    </row>
    <row r="32" spans="1:4" ht="16.5" customHeight="1">
      <c r="A32" s="2" t="str">
        <f>IF(COUNTIF(D:D,database!D32), database!G32, "")</f>
        <v/>
      </c>
      <c r="B32" s="2" t="e">
        <f t="shared" si="1"/>
        <v>#VALUE!</v>
      </c>
      <c r="C32" t="e">
        <f>FIND(" ",SUBSTITUTE($F$2, CHAR(10), " "),calc!B32)</f>
        <v>#VALUE!</v>
      </c>
      <c r="D32" t="e">
        <f>MID($F$2,calc!B32,calc!C32-calc!B32)</f>
        <v>#VALUE!</v>
      </c>
    </row>
    <row r="33" spans="1:4" ht="16.5" customHeight="1">
      <c r="A33" s="2" t="str">
        <f>IF(COUNTIF(D:D,database!D33), database!G33, "")</f>
        <v/>
      </c>
      <c r="B33" s="2" t="e">
        <f t="shared" si="1"/>
        <v>#VALUE!</v>
      </c>
      <c r="C33" t="e">
        <f>FIND(" ",SUBSTITUTE($F$2, CHAR(10), " "),calc!B33)</f>
        <v>#VALUE!</v>
      </c>
      <c r="D33" t="e">
        <f>MID($F$2,calc!B33,calc!C33-calc!B33)</f>
        <v>#VALUE!</v>
      </c>
    </row>
    <row r="34" spans="1:4" ht="16.5" customHeight="1">
      <c r="A34" s="2" t="str">
        <f>IF(COUNTIF(D:D,database!D34), database!G34, "")</f>
        <v/>
      </c>
      <c r="B34" s="2" t="e">
        <f t="shared" si="1"/>
        <v>#VALUE!</v>
      </c>
      <c r="C34" t="e">
        <f>FIND(" ",SUBSTITUTE($F$2, CHAR(10), " "),calc!B34)</f>
        <v>#VALUE!</v>
      </c>
      <c r="D34" t="e">
        <f>MID($F$2,calc!B34,calc!C34-calc!B34)</f>
        <v>#VALUE!</v>
      </c>
    </row>
    <row r="35" spans="1:4" ht="16.5" customHeight="1">
      <c r="A35" s="2" t="str">
        <f>IF(COUNTIF(D:D,database!D35), database!G35, "")</f>
        <v/>
      </c>
      <c r="B35" s="2" t="e">
        <f t="shared" si="1"/>
        <v>#VALUE!</v>
      </c>
      <c r="C35" t="e">
        <f>FIND(" ",SUBSTITUTE($F$2, CHAR(10), " "),calc!B35)</f>
        <v>#VALUE!</v>
      </c>
      <c r="D35" t="e">
        <f>MID($F$2,calc!B35,calc!C35-calc!B35)</f>
        <v>#VALUE!</v>
      </c>
    </row>
    <row r="36" spans="1:4" ht="16.5" customHeight="1">
      <c r="A36" s="2" t="str">
        <f>IF(COUNTIF(D:D,database!D36), database!G36, "")</f>
        <v/>
      </c>
      <c r="B36" s="2" t="e">
        <f t="shared" si="1"/>
        <v>#VALUE!</v>
      </c>
      <c r="C36" t="e">
        <f>FIND(" ",SUBSTITUTE($F$2, CHAR(10), " "),calc!B36)</f>
        <v>#VALUE!</v>
      </c>
      <c r="D36" t="e">
        <f>MID($F$2,calc!B36,calc!C36-calc!B36)</f>
        <v>#VALUE!</v>
      </c>
    </row>
    <row r="37" spans="1:4" ht="16.5" customHeight="1">
      <c r="A37" s="2" t="str">
        <f>IF(COUNTIF(D:D,database!D37), database!G37, "")</f>
        <v/>
      </c>
      <c r="B37" s="2" t="e">
        <f t="shared" si="1"/>
        <v>#VALUE!</v>
      </c>
      <c r="C37" t="e">
        <f>FIND(" ",SUBSTITUTE($F$2, CHAR(10), " "),calc!B37)</f>
        <v>#VALUE!</v>
      </c>
      <c r="D37" t="e">
        <f>MID($F$2,calc!B37,calc!C37-calc!B37)</f>
        <v>#VALUE!</v>
      </c>
    </row>
    <row r="38" spans="1:4" ht="16.5" customHeight="1">
      <c r="A38" s="2" t="str">
        <f>IF(COUNTIF(D:D,database!D38), database!G38, "")</f>
        <v/>
      </c>
      <c r="B38" s="2" t="e">
        <f t="shared" si="1"/>
        <v>#VALUE!</v>
      </c>
      <c r="C38" t="e">
        <f>FIND(" ",SUBSTITUTE($F$2, CHAR(10), " "),calc!B38)</f>
        <v>#VALUE!</v>
      </c>
      <c r="D38" t="e">
        <f>MID($F$2,calc!B38,calc!C38-calc!B38)</f>
        <v>#VALUE!</v>
      </c>
    </row>
    <row r="39" spans="1:4" ht="16.5" customHeight="1">
      <c r="A39" s="2" t="str">
        <f>IF(COUNTIF(D:D,database!D39), database!G39, "")</f>
        <v/>
      </c>
      <c r="B39" s="2" t="e">
        <f t="shared" si="1"/>
        <v>#VALUE!</v>
      </c>
      <c r="C39" t="e">
        <f>FIND(" ",SUBSTITUTE($F$2, CHAR(10), " "),calc!B39)</f>
        <v>#VALUE!</v>
      </c>
      <c r="D39" t="e">
        <f>MID($F$2,calc!B39,calc!C39-calc!B39)</f>
        <v>#VALUE!</v>
      </c>
    </row>
    <row r="40" spans="1:4" ht="16.5" customHeight="1">
      <c r="A40" s="2" t="str">
        <f>IF(COUNTIF(D:D,database!D40), database!G40, "")</f>
        <v/>
      </c>
      <c r="B40" s="2" t="e">
        <f t="shared" si="1"/>
        <v>#VALUE!</v>
      </c>
      <c r="C40" t="e">
        <f>FIND(" ",SUBSTITUTE($F$2, CHAR(10), " "),calc!B40)</f>
        <v>#VALUE!</v>
      </c>
      <c r="D40" t="e">
        <f>MID($F$2,calc!B40,calc!C40-calc!B40)</f>
        <v>#VALUE!</v>
      </c>
    </row>
    <row r="41" spans="1:4" ht="16.5" customHeight="1">
      <c r="A41" s="2" t="str">
        <f>IF(COUNTIF(D:D,database!D41), database!G41, "")</f>
        <v/>
      </c>
      <c r="B41" s="2" t="e">
        <f t="shared" si="1"/>
        <v>#VALUE!</v>
      </c>
      <c r="C41" t="e">
        <f>FIND(" ",SUBSTITUTE($F$2, CHAR(10), " "),calc!B41)</f>
        <v>#VALUE!</v>
      </c>
      <c r="D41" t="e">
        <f>MID($F$2,calc!B41,calc!C41-calc!B41)</f>
        <v>#VALUE!</v>
      </c>
    </row>
    <row r="42" spans="1:4" ht="16.5" customHeight="1">
      <c r="A42" s="2" t="str">
        <f>IF(COUNTIF(D:D,database!D42), database!G42, "")</f>
        <v/>
      </c>
      <c r="B42" s="2" t="e">
        <f t="shared" si="1"/>
        <v>#VALUE!</v>
      </c>
      <c r="C42" t="e">
        <f>FIND(" ",SUBSTITUTE($F$2, CHAR(10), " "),calc!B42)</f>
        <v>#VALUE!</v>
      </c>
      <c r="D42" t="e">
        <f>MID($F$2,calc!B42,calc!C42-calc!B42)</f>
        <v>#VALUE!</v>
      </c>
    </row>
    <row r="43" spans="1:4" ht="16.5" customHeight="1">
      <c r="A43" s="2" t="str">
        <f>IF(COUNTIF(D:D,database!D43), database!G43, "")</f>
        <v/>
      </c>
      <c r="B43" s="2" t="e">
        <f t="shared" si="1"/>
        <v>#VALUE!</v>
      </c>
      <c r="C43" t="e">
        <f>FIND(" ",SUBSTITUTE($F$2, CHAR(10), " "),calc!B43)</f>
        <v>#VALUE!</v>
      </c>
      <c r="D43" t="e">
        <f>MID($F$2,calc!B43,calc!C43-calc!B43)</f>
        <v>#VALUE!</v>
      </c>
    </row>
    <row r="44" spans="1:4" ht="16.5" customHeight="1">
      <c r="A44" s="2" t="str">
        <f>IF(COUNTIF(D:D,database!D44), database!G44, "")</f>
        <v/>
      </c>
      <c r="B44" s="2" t="e">
        <f t="shared" si="1"/>
        <v>#VALUE!</v>
      </c>
      <c r="C44" t="e">
        <f>FIND(" ",SUBSTITUTE($F$2, CHAR(10), " "),calc!B44)</f>
        <v>#VALUE!</v>
      </c>
      <c r="D44" t="e">
        <f>MID($F$2,calc!B44,calc!C44-calc!B44)</f>
        <v>#VALUE!</v>
      </c>
    </row>
    <row r="45" spans="1:4" ht="16.5" customHeight="1">
      <c r="A45" s="2" t="str">
        <f>IF(COUNTIF(D:D,database!D45), database!G45, "")</f>
        <v/>
      </c>
      <c r="B45" s="2" t="e">
        <f t="shared" si="1"/>
        <v>#VALUE!</v>
      </c>
      <c r="C45" t="e">
        <f>FIND(" ",SUBSTITUTE($F$2, CHAR(10), " "),calc!B45)</f>
        <v>#VALUE!</v>
      </c>
      <c r="D45" t="e">
        <f>MID($F$2,calc!B45,calc!C45-calc!B45)</f>
        <v>#VALUE!</v>
      </c>
    </row>
    <row r="46" spans="1:4" ht="16.5" customHeight="1">
      <c r="A46" s="2" t="str">
        <f>IF(COUNTIF(D:D,database!D46), database!G46, "")</f>
        <v/>
      </c>
      <c r="B46" s="2" t="e">
        <f t="shared" si="1"/>
        <v>#VALUE!</v>
      </c>
      <c r="C46" t="e">
        <f>FIND(" ",SUBSTITUTE($F$2, CHAR(10), " "),calc!B46)</f>
        <v>#VALUE!</v>
      </c>
      <c r="D46" t="e">
        <f>MID($F$2,calc!B46,calc!C46-calc!B46)</f>
        <v>#VALUE!</v>
      </c>
    </row>
    <row r="47" spans="1:4" ht="16.5" customHeight="1">
      <c r="A47" s="2" t="str">
        <f>IF(COUNTIF(D:D,database!D47), database!G47, "")</f>
        <v/>
      </c>
      <c r="B47" s="2" t="e">
        <f t="shared" si="1"/>
        <v>#VALUE!</v>
      </c>
      <c r="C47" t="e">
        <f>FIND(" ",SUBSTITUTE($F$2, CHAR(10), " "),calc!B47)</f>
        <v>#VALUE!</v>
      </c>
      <c r="D47" t="e">
        <f>MID($F$2,calc!B47,calc!C47-calc!B47)</f>
        <v>#VALUE!</v>
      </c>
    </row>
    <row r="48" spans="1:4" ht="16.5" customHeight="1">
      <c r="A48" s="2" t="str">
        <f>IF(COUNTIF(D:D,database!D48), database!G48, "")</f>
        <v/>
      </c>
      <c r="B48" s="2" t="e">
        <f t="shared" si="1"/>
        <v>#VALUE!</v>
      </c>
      <c r="C48" t="e">
        <f>FIND(" ",SUBSTITUTE($F$2, CHAR(10), " "),calc!B48)</f>
        <v>#VALUE!</v>
      </c>
      <c r="D48" t="e">
        <f>MID($F$2,calc!B48,calc!C48-calc!B48)</f>
        <v>#VALUE!</v>
      </c>
    </row>
    <row r="49" spans="1:4" ht="16.5" customHeight="1">
      <c r="A49" s="2" t="str">
        <f>IF(COUNTIF(D:D,database!D49), database!G49, "")</f>
        <v/>
      </c>
      <c r="B49" s="2" t="e">
        <f t="shared" si="1"/>
        <v>#VALUE!</v>
      </c>
      <c r="C49" t="e">
        <f>FIND(" ",SUBSTITUTE($F$2, CHAR(10), " "),calc!B49)</f>
        <v>#VALUE!</v>
      </c>
      <c r="D49" t="e">
        <f>MID($F$2,calc!B49,calc!C49-calc!B49)</f>
        <v>#VALUE!</v>
      </c>
    </row>
    <row r="50" spans="1:4" ht="16.5" customHeight="1">
      <c r="A50" s="2" t="str">
        <f>IF(COUNTIF(D:D,database!D50), database!G50, "")</f>
        <v/>
      </c>
      <c r="B50" s="2" t="e">
        <f t="shared" si="1"/>
        <v>#VALUE!</v>
      </c>
      <c r="C50" t="e">
        <f>FIND(" ",SUBSTITUTE($F$2, CHAR(10), " "),calc!B50)</f>
        <v>#VALUE!</v>
      </c>
      <c r="D50" t="e">
        <f>MID($F$2,calc!B50,calc!C50-calc!B50)</f>
        <v>#VALUE!</v>
      </c>
    </row>
    <row r="51" spans="1:4" ht="16.5" customHeight="1">
      <c r="A51" s="2" t="str">
        <f>IF(COUNTIF(D:D,database!D51), database!G51, "")</f>
        <v/>
      </c>
      <c r="B51" s="2" t="e">
        <f t="shared" si="1"/>
        <v>#VALUE!</v>
      </c>
      <c r="C51" t="e">
        <f>FIND(" ",SUBSTITUTE($F$2, CHAR(10), " "),calc!B51)</f>
        <v>#VALUE!</v>
      </c>
      <c r="D51" t="e">
        <f>MID($F$2,calc!B51,calc!C51-calc!B51)</f>
        <v>#VALUE!</v>
      </c>
    </row>
    <row r="52" spans="1:4" ht="16.5" customHeight="1">
      <c r="A52" s="2" t="str">
        <f>IF(COUNTIF(D:D,database!D52), database!G52, "")</f>
        <v/>
      </c>
      <c r="B52" s="2" t="e">
        <f t="shared" si="1"/>
        <v>#VALUE!</v>
      </c>
      <c r="C52" t="e">
        <f>FIND(" ",SUBSTITUTE($F$2, CHAR(10), " "),calc!B52)</f>
        <v>#VALUE!</v>
      </c>
      <c r="D52" t="e">
        <f>MID($F$2,calc!B52,calc!C52-calc!B52)</f>
        <v>#VALUE!</v>
      </c>
    </row>
    <row r="53" spans="1:4" ht="16.5" customHeight="1">
      <c r="A53" s="2" t="str">
        <f>IF(COUNTIF(D:D,database!D53), database!G53, "")</f>
        <v/>
      </c>
      <c r="B53" s="2" t="e">
        <f t="shared" si="1"/>
        <v>#VALUE!</v>
      </c>
      <c r="C53" t="e">
        <f>FIND(" ",SUBSTITUTE($F$2, CHAR(10), " "),calc!B53)</f>
        <v>#VALUE!</v>
      </c>
      <c r="D53" t="e">
        <f>MID($F$2,calc!B53,calc!C53-calc!B53)</f>
        <v>#VALUE!</v>
      </c>
    </row>
    <row r="54" spans="1:4" ht="16.5" customHeight="1">
      <c r="A54" s="2" t="str">
        <f>IF(COUNTIF(D:D,database!D54), database!G54, "")</f>
        <v/>
      </c>
      <c r="B54" s="2" t="e">
        <f t="shared" si="1"/>
        <v>#VALUE!</v>
      </c>
      <c r="C54" t="e">
        <f>FIND(" ",SUBSTITUTE($F$2, CHAR(10), " "),calc!B54)</f>
        <v>#VALUE!</v>
      </c>
      <c r="D54" t="e">
        <f>MID($F$2,calc!B54,calc!C54-calc!B54)</f>
        <v>#VALUE!</v>
      </c>
    </row>
    <row r="55" spans="1:4" ht="16.5" customHeight="1">
      <c r="A55" s="2" t="str">
        <f>IF(COUNTIF(D:D,database!D55), database!G55, "")</f>
        <v/>
      </c>
      <c r="B55" s="2" t="e">
        <f t="shared" si="1"/>
        <v>#VALUE!</v>
      </c>
      <c r="C55" t="e">
        <f>FIND(" ",SUBSTITUTE($F$2, CHAR(10), " "),calc!B55)</f>
        <v>#VALUE!</v>
      </c>
      <c r="D55" t="e">
        <f>MID($F$2,calc!B55,calc!C55-calc!B55)</f>
        <v>#VALUE!</v>
      </c>
    </row>
    <row r="56" spans="1:4" ht="16.5" customHeight="1">
      <c r="A56" s="2" t="str">
        <f>IF(COUNTIF(D:D,database!D56), database!G56, "")</f>
        <v/>
      </c>
      <c r="B56" s="2" t="e">
        <f t="shared" si="1"/>
        <v>#VALUE!</v>
      </c>
      <c r="C56" t="e">
        <f>FIND(" ",SUBSTITUTE($F$2, CHAR(10), " "),calc!B56)</f>
        <v>#VALUE!</v>
      </c>
      <c r="D56" t="e">
        <f>MID($F$2,calc!B56,calc!C56-calc!B56)</f>
        <v>#VALUE!</v>
      </c>
    </row>
    <row r="57" spans="1:4" ht="16.5" customHeight="1">
      <c r="A57" s="2" t="str">
        <f>IF(COUNTIF(D:D,database!D57), database!G57, "")</f>
        <v/>
      </c>
      <c r="B57" s="2" t="e">
        <f t="shared" si="1"/>
        <v>#VALUE!</v>
      </c>
      <c r="C57" t="e">
        <f>FIND(" ",SUBSTITUTE($F$2, CHAR(10), " "),calc!B57)</f>
        <v>#VALUE!</v>
      </c>
      <c r="D57" t="e">
        <f>MID($F$2,calc!B57,calc!C57-calc!B57)</f>
        <v>#VALUE!</v>
      </c>
    </row>
    <row r="58" spans="1:4" ht="16.5" customHeight="1">
      <c r="A58" s="2" t="str">
        <f>IF(COUNTIF(D:D,database!D58), database!G58, "")</f>
        <v/>
      </c>
      <c r="B58" s="2" t="e">
        <f t="shared" si="1"/>
        <v>#VALUE!</v>
      </c>
      <c r="C58" t="e">
        <f>FIND(" ",SUBSTITUTE($F$2, CHAR(10), " "),calc!B58)</f>
        <v>#VALUE!</v>
      </c>
      <c r="D58" t="e">
        <f>MID($F$2,calc!B58,calc!C58-calc!B58)</f>
        <v>#VALUE!</v>
      </c>
    </row>
    <row r="59" spans="1:4" ht="16.5" customHeight="1">
      <c r="A59" s="2" t="str">
        <f>IF(COUNTIF(D:D,database!D59), database!G59, "")</f>
        <v/>
      </c>
      <c r="B59" s="2" t="e">
        <f t="shared" si="1"/>
        <v>#VALUE!</v>
      </c>
      <c r="C59" t="e">
        <f>FIND(" ",SUBSTITUTE($F$2, CHAR(10), " "),calc!B59)</f>
        <v>#VALUE!</v>
      </c>
      <c r="D59" t="e">
        <f>MID($F$2,calc!B59,calc!C59-calc!B59)</f>
        <v>#VALUE!</v>
      </c>
    </row>
    <row r="60" spans="1:4" ht="16.5" customHeight="1">
      <c r="A60" s="2" t="str">
        <f>IF(COUNTIF(D:D,database!D60), database!G60, "")</f>
        <v/>
      </c>
      <c r="B60" s="2" t="e">
        <f t="shared" si="1"/>
        <v>#VALUE!</v>
      </c>
      <c r="C60" t="e">
        <f>FIND(" ",SUBSTITUTE($F$2, CHAR(10), " "),calc!B60)</f>
        <v>#VALUE!</v>
      </c>
      <c r="D60" t="e">
        <f>MID($F$2,calc!B60,calc!C60-calc!B60)</f>
        <v>#VALUE!</v>
      </c>
    </row>
    <row r="61" spans="1:4" ht="16.5" customHeight="1">
      <c r="A61" s="2" t="str">
        <f>IF(COUNTIF(D:D,database!D61), database!G61, "")</f>
        <v/>
      </c>
      <c r="B61" s="2" t="e">
        <f t="shared" si="1"/>
        <v>#VALUE!</v>
      </c>
      <c r="C61" t="e">
        <f>FIND(" ",SUBSTITUTE($F$2, CHAR(10), " "),calc!B61)</f>
        <v>#VALUE!</v>
      </c>
      <c r="D61" t="e">
        <f>MID($F$2,calc!B61,calc!C61-calc!B61)</f>
        <v>#VALUE!</v>
      </c>
    </row>
    <row r="62" spans="1:4" ht="16.5" customHeight="1">
      <c r="A62" s="2" t="str">
        <f>IF(COUNTIF(D:D,database!D62), database!G62, "")</f>
        <v/>
      </c>
      <c r="B62" s="2" t="e">
        <f t="shared" si="1"/>
        <v>#VALUE!</v>
      </c>
      <c r="C62" t="e">
        <f>FIND(" ",SUBSTITUTE($F$2, CHAR(10), " "),calc!B62)</f>
        <v>#VALUE!</v>
      </c>
      <c r="D62" t="e">
        <f>MID($F$2,calc!B62,calc!C62-calc!B62)</f>
        <v>#VALUE!</v>
      </c>
    </row>
    <row r="63" spans="1:4" ht="16.5" customHeight="1">
      <c r="A63" s="2" t="str">
        <f>IF(COUNTIF(D:D,database!D63), database!G63, "")</f>
        <v/>
      </c>
      <c r="B63" s="2" t="e">
        <f t="shared" si="1"/>
        <v>#VALUE!</v>
      </c>
      <c r="C63" t="e">
        <f>FIND(" ",SUBSTITUTE($F$2, CHAR(10), " "),calc!B63)</f>
        <v>#VALUE!</v>
      </c>
      <c r="D63" t="e">
        <f>MID($F$2,calc!B63,calc!C63-calc!B63)</f>
        <v>#VALUE!</v>
      </c>
    </row>
    <row r="64" spans="1:4" ht="16.5" customHeight="1">
      <c r="A64" s="2" t="str">
        <f>IF(COUNTIF(D:D,database!D64), database!G64, "")</f>
        <v/>
      </c>
      <c r="B64" s="2" t="e">
        <f t="shared" si="1"/>
        <v>#VALUE!</v>
      </c>
      <c r="C64" t="e">
        <f>FIND(" ",SUBSTITUTE($F$2, CHAR(10), " "),calc!B64)</f>
        <v>#VALUE!</v>
      </c>
      <c r="D64" t="e">
        <f>MID($F$2,calc!B64,calc!C64-calc!B64)</f>
        <v>#VALUE!</v>
      </c>
    </row>
    <row r="65" spans="1:4" ht="16.5" customHeight="1">
      <c r="A65" s="2" t="str">
        <f>IF(COUNTIF(D:D,database!D65), database!G65, "")</f>
        <v/>
      </c>
      <c r="B65" s="2" t="e">
        <f t="shared" si="1"/>
        <v>#VALUE!</v>
      </c>
      <c r="C65" t="e">
        <f>FIND(" ",SUBSTITUTE($F$2, CHAR(10), " "),calc!B65)</f>
        <v>#VALUE!</v>
      </c>
      <c r="D65" t="e">
        <f>MID($F$2,calc!B65,calc!C65-calc!B65)</f>
        <v>#VALUE!</v>
      </c>
    </row>
    <row r="66" spans="1:4" ht="16.5" customHeight="1">
      <c r="A66" s="2" t="str">
        <f>IF(COUNTIF(D:D,database!D66), database!G66, "")</f>
        <v/>
      </c>
      <c r="B66" s="2" t="e">
        <f t="shared" si="1"/>
        <v>#VALUE!</v>
      </c>
      <c r="C66" t="e">
        <f>FIND(" ",SUBSTITUTE($F$2, CHAR(10), " "),calc!B66)</f>
        <v>#VALUE!</v>
      </c>
      <c r="D66" t="e">
        <f>MID($F$2,calc!B66,calc!C66-calc!B66)</f>
        <v>#VALUE!</v>
      </c>
    </row>
    <row r="67" spans="1:4" ht="16.5" customHeight="1">
      <c r="A67" s="2" t="str">
        <f>IF(COUNTIF(D:D,database!D67), database!G67, "")</f>
        <v/>
      </c>
      <c r="B67" s="2" t="e">
        <f t="shared" ref="B67:B130" si="2">FIND("#", $F$2, B66 +1)</f>
        <v>#VALUE!</v>
      </c>
      <c r="C67" t="e">
        <f>FIND(" ",SUBSTITUTE($F$2, CHAR(10), " "),calc!B67)</f>
        <v>#VALUE!</v>
      </c>
      <c r="D67" t="e">
        <f>MID($F$2,calc!B67,calc!C67-calc!B67)</f>
        <v>#VALUE!</v>
      </c>
    </row>
    <row r="68" spans="1:4" ht="16.5" customHeight="1">
      <c r="A68" s="2" t="str">
        <f>IF(COUNTIF(D:D,database!D68), database!G68, "")</f>
        <v/>
      </c>
      <c r="B68" s="2" t="e">
        <f t="shared" si="2"/>
        <v>#VALUE!</v>
      </c>
      <c r="C68" t="e">
        <f>FIND(" ",SUBSTITUTE($F$2, CHAR(10), " "),calc!B68)</f>
        <v>#VALUE!</v>
      </c>
      <c r="D68" t="e">
        <f>MID($F$2,calc!B68,calc!C68-calc!B68)</f>
        <v>#VALUE!</v>
      </c>
    </row>
    <row r="69" spans="1:4" ht="16.5" customHeight="1">
      <c r="A69" s="2" t="str">
        <f>IF(COUNTIF(D:D,database!D69), database!G69, "")</f>
        <v/>
      </c>
      <c r="B69" s="2" t="e">
        <f t="shared" si="2"/>
        <v>#VALUE!</v>
      </c>
      <c r="C69" t="e">
        <f>FIND(" ",SUBSTITUTE($F$2, CHAR(10), " "),calc!B69)</f>
        <v>#VALUE!</v>
      </c>
      <c r="D69" t="e">
        <f>MID($F$2,calc!B69,calc!C69-calc!B69)</f>
        <v>#VALUE!</v>
      </c>
    </row>
    <row r="70" spans="1:4" ht="16.5" customHeight="1">
      <c r="A70" s="2" t="str">
        <f>IF(COUNTIF(D:D,database!D70), database!G70, "")</f>
        <v/>
      </c>
      <c r="B70" s="2" t="e">
        <f t="shared" si="2"/>
        <v>#VALUE!</v>
      </c>
      <c r="C70" t="e">
        <f>FIND(" ",SUBSTITUTE($F$2, CHAR(10), " "),calc!B70)</f>
        <v>#VALUE!</v>
      </c>
      <c r="D70" t="e">
        <f>MID($F$2,calc!B70,calc!C70-calc!B70)</f>
        <v>#VALUE!</v>
      </c>
    </row>
    <row r="71" spans="1:4" ht="16.5" customHeight="1">
      <c r="A71" s="2" t="str">
        <f>IF(COUNTIF(D:D,database!D71), database!G71, "")</f>
        <v/>
      </c>
      <c r="B71" s="2" t="e">
        <f t="shared" si="2"/>
        <v>#VALUE!</v>
      </c>
      <c r="C71" t="e">
        <f>FIND(" ",SUBSTITUTE($F$2, CHAR(10), " "),calc!B71)</f>
        <v>#VALUE!</v>
      </c>
      <c r="D71" t="e">
        <f>MID($F$2,calc!B71,calc!C71-calc!B71)</f>
        <v>#VALUE!</v>
      </c>
    </row>
    <row r="72" spans="1:4" ht="16.5" customHeight="1">
      <c r="A72" s="2" t="str">
        <f>IF(COUNTIF(D:D,database!D72), database!G72, "")</f>
        <v/>
      </c>
      <c r="B72" s="2" t="e">
        <f t="shared" si="2"/>
        <v>#VALUE!</v>
      </c>
      <c r="C72" t="e">
        <f>FIND(" ",SUBSTITUTE($F$2, CHAR(10), " "),calc!B72)</f>
        <v>#VALUE!</v>
      </c>
      <c r="D72" t="e">
        <f>MID($F$2,calc!B72,calc!C72-calc!B72)</f>
        <v>#VALUE!</v>
      </c>
    </row>
    <row r="73" spans="1:4" ht="16.5" customHeight="1">
      <c r="A73" s="2" t="str">
        <f>IF(COUNTIF(D:D,database!D73), database!G73, "")</f>
        <v/>
      </c>
      <c r="B73" s="2" t="e">
        <f t="shared" si="2"/>
        <v>#VALUE!</v>
      </c>
      <c r="C73" t="e">
        <f>FIND(" ",SUBSTITUTE($F$2, CHAR(10), " "),calc!B73)</f>
        <v>#VALUE!</v>
      </c>
      <c r="D73" t="e">
        <f>MID($F$2,calc!B73,calc!C73-calc!B73)</f>
        <v>#VALUE!</v>
      </c>
    </row>
    <row r="74" spans="1:4" ht="16.5" customHeight="1">
      <c r="A74" s="2" t="str">
        <f>IF(COUNTIF(D:D,database!D74), database!G74, "")</f>
        <v/>
      </c>
      <c r="B74" s="2" t="e">
        <f t="shared" si="2"/>
        <v>#VALUE!</v>
      </c>
      <c r="C74" t="e">
        <f>FIND(" ",SUBSTITUTE($F$2, CHAR(10), " "),calc!B74)</f>
        <v>#VALUE!</v>
      </c>
      <c r="D74" t="e">
        <f>MID($F$2,calc!B74,calc!C74-calc!B74)</f>
        <v>#VALUE!</v>
      </c>
    </row>
    <row r="75" spans="1:4" ht="16.5" customHeight="1">
      <c r="A75" s="2" t="str">
        <f>IF(COUNTIF(D:D,database!D75), database!G75, "")</f>
        <v/>
      </c>
      <c r="B75" s="2" t="e">
        <f t="shared" si="2"/>
        <v>#VALUE!</v>
      </c>
      <c r="C75" t="e">
        <f>FIND(" ",SUBSTITUTE($F$2, CHAR(10), " "),calc!B75)</f>
        <v>#VALUE!</v>
      </c>
      <c r="D75" t="e">
        <f>MID($F$2,calc!B75,calc!C75-calc!B75)</f>
        <v>#VALUE!</v>
      </c>
    </row>
    <row r="76" spans="1:4" ht="16.5" customHeight="1">
      <c r="A76" s="2" t="str">
        <f>IF(COUNTIF(D:D,database!D76), database!G76, "")</f>
        <v/>
      </c>
      <c r="B76" s="2" t="e">
        <f t="shared" si="2"/>
        <v>#VALUE!</v>
      </c>
      <c r="C76" t="e">
        <f>FIND(" ",SUBSTITUTE($F$2, CHAR(10), " "),calc!B76)</f>
        <v>#VALUE!</v>
      </c>
      <c r="D76" t="e">
        <f>MID($F$2,calc!B76,calc!C76-calc!B76)</f>
        <v>#VALUE!</v>
      </c>
    </row>
    <row r="77" spans="1:4" ht="16.5" customHeight="1">
      <c r="A77" s="2" t="str">
        <f>IF(COUNTIF(D:D,database!D77), database!G77, "")</f>
        <v/>
      </c>
      <c r="B77" s="2" t="e">
        <f t="shared" si="2"/>
        <v>#VALUE!</v>
      </c>
      <c r="C77" t="e">
        <f>FIND(" ",SUBSTITUTE($F$2, CHAR(10), " "),calc!B77)</f>
        <v>#VALUE!</v>
      </c>
      <c r="D77" t="e">
        <f>MID($F$2,calc!B77,calc!C77-calc!B77)</f>
        <v>#VALUE!</v>
      </c>
    </row>
    <row r="78" spans="1:4" ht="16.5" customHeight="1">
      <c r="A78" s="2" t="str">
        <f>IF(COUNTIF(D:D,database!D78), database!G78, "")</f>
        <v/>
      </c>
      <c r="B78" s="2" t="e">
        <f t="shared" si="2"/>
        <v>#VALUE!</v>
      </c>
      <c r="C78" t="e">
        <f>FIND(" ",SUBSTITUTE($F$2, CHAR(10), " "),calc!B78)</f>
        <v>#VALUE!</v>
      </c>
      <c r="D78" t="e">
        <f>MID($F$2,calc!B78,calc!C78-calc!B78)</f>
        <v>#VALUE!</v>
      </c>
    </row>
    <row r="79" spans="1:4" ht="16.5" customHeight="1">
      <c r="A79" s="2" t="str">
        <f>IF(COUNTIF(D:D,database!D79), database!G79, "")</f>
        <v/>
      </c>
      <c r="B79" s="2" t="e">
        <f t="shared" si="2"/>
        <v>#VALUE!</v>
      </c>
      <c r="C79" t="e">
        <f>FIND(" ",SUBSTITUTE($F$2, CHAR(10), " "),calc!B79)</f>
        <v>#VALUE!</v>
      </c>
      <c r="D79" t="e">
        <f>MID($F$2,calc!B79,calc!C79-calc!B79)</f>
        <v>#VALUE!</v>
      </c>
    </row>
    <row r="80" spans="1:4" ht="16.5" customHeight="1">
      <c r="A80" s="2" t="str">
        <f>IF(COUNTIF(D:D,database!D80), database!G80, "")</f>
        <v/>
      </c>
      <c r="B80" s="2" t="e">
        <f t="shared" si="2"/>
        <v>#VALUE!</v>
      </c>
      <c r="C80" t="e">
        <f>FIND(" ",SUBSTITUTE($F$2, CHAR(10), " "),calc!B80)</f>
        <v>#VALUE!</v>
      </c>
      <c r="D80" t="e">
        <f>MID($F$2,calc!B80,calc!C80-calc!B80)</f>
        <v>#VALUE!</v>
      </c>
    </row>
    <row r="81" spans="1:4" ht="16.5" customHeight="1">
      <c r="A81" s="2" t="str">
        <f>IF(COUNTIF(D:D,database!D81), database!G81, "")</f>
        <v/>
      </c>
      <c r="B81" s="2" t="e">
        <f t="shared" si="2"/>
        <v>#VALUE!</v>
      </c>
      <c r="C81" t="e">
        <f>FIND(" ",SUBSTITUTE($F$2, CHAR(10), " "),calc!B81)</f>
        <v>#VALUE!</v>
      </c>
      <c r="D81" t="e">
        <f>MID($F$2,calc!B81,calc!C81-calc!B81)</f>
        <v>#VALUE!</v>
      </c>
    </row>
    <row r="82" spans="1:4" ht="16.5" customHeight="1">
      <c r="A82" s="2" t="str">
        <f>IF(COUNTIF(D:D,database!D82), database!G82, "")</f>
        <v/>
      </c>
      <c r="B82" s="2" t="e">
        <f t="shared" si="2"/>
        <v>#VALUE!</v>
      </c>
      <c r="C82" t="e">
        <f>FIND(" ",SUBSTITUTE($F$2, CHAR(10), " "),calc!B82)</f>
        <v>#VALUE!</v>
      </c>
      <c r="D82" t="e">
        <f>MID($F$2,calc!B82,calc!C82-calc!B82)</f>
        <v>#VALUE!</v>
      </c>
    </row>
    <row r="83" spans="1:4" ht="16.5" customHeight="1">
      <c r="A83" s="2" t="str">
        <f>IF(COUNTIF(D:D,database!D83), database!G83, "")</f>
        <v/>
      </c>
      <c r="B83" s="2" t="e">
        <f t="shared" si="2"/>
        <v>#VALUE!</v>
      </c>
      <c r="C83" t="e">
        <f>FIND(" ",SUBSTITUTE($F$2, CHAR(10), " "),calc!B83)</f>
        <v>#VALUE!</v>
      </c>
      <c r="D83" t="e">
        <f>MID($F$2,calc!B83,calc!C83-calc!B83)</f>
        <v>#VALUE!</v>
      </c>
    </row>
    <row r="84" spans="1:4" ht="16.5" customHeight="1">
      <c r="A84" s="2" t="str">
        <f>IF(COUNTIF(D:D,database!D84), database!G84, "")</f>
        <v/>
      </c>
      <c r="B84" s="2" t="e">
        <f t="shared" si="2"/>
        <v>#VALUE!</v>
      </c>
      <c r="C84" t="e">
        <f>FIND(" ",SUBSTITUTE($F$2, CHAR(10), " "),calc!B84)</f>
        <v>#VALUE!</v>
      </c>
      <c r="D84" t="e">
        <f>MID($F$2,calc!B84,calc!C84-calc!B84)</f>
        <v>#VALUE!</v>
      </c>
    </row>
    <row r="85" spans="1:4" ht="16.5" customHeight="1">
      <c r="A85" s="2" t="str">
        <f>IF(COUNTIF(D:D,database!D85), database!G85, "")</f>
        <v/>
      </c>
      <c r="B85" s="2" t="e">
        <f t="shared" si="2"/>
        <v>#VALUE!</v>
      </c>
      <c r="C85" t="e">
        <f>FIND(" ",SUBSTITUTE($F$2, CHAR(10), " "),calc!B85)</f>
        <v>#VALUE!</v>
      </c>
      <c r="D85" t="e">
        <f>MID($F$2,calc!B85,calc!C85-calc!B85)</f>
        <v>#VALUE!</v>
      </c>
    </row>
    <row r="86" spans="1:4" ht="16.5" customHeight="1">
      <c r="A86" s="2" t="str">
        <f>IF(COUNTIF(D:D,database!D86), database!G86, "")</f>
        <v/>
      </c>
      <c r="B86" s="2" t="e">
        <f t="shared" si="2"/>
        <v>#VALUE!</v>
      </c>
      <c r="C86" t="e">
        <f>FIND(" ",SUBSTITUTE($F$2, CHAR(10), " "),calc!B86)</f>
        <v>#VALUE!</v>
      </c>
      <c r="D86" t="e">
        <f>MID($F$2,calc!B86,calc!C86-calc!B86)</f>
        <v>#VALUE!</v>
      </c>
    </row>
    <row r="87" spans="1:4" ht="16.5" customHeight="1">
      <c r="A87" s="2" t="str">
        <f>IF(COUNTIF(D:D,database!D87), database!G87, "")</f>
        <v/>
      </c>
      <c r="B87" s="2" t="e">
        <f t="shared" si="2"/>
        <v>#VALUE!</v>
      </c>
      <c r="C87" t="e">
        <f>FIND(" ",SUBSTITUTE($F$2, CHAR(10), " "),calc!B87)</f>
        <v>#VALUE!</v>
      </c>
      <c r="D87" t="e">
        <f>MID($F$2,calc!B87,calc!C87-calc!B87)</f>
        <v>#VALUE!</v>
      </c>
    </row>
    <row r="88" spans="1:4" ht="16.5" customHeight="1">
      <c r="A88" s="2" t="str">
        <f>IF(COUNTIF(D:D,database!D88), database!G88, "")</f>
        <v/>
      </c>
      <c r="B88" s="2" t="e">
        <f t="shared" si="2"/>
        <v>#VALUE!</v>
      </c>
      <c r="C88" t="e">
        <f>FIND(" ",SUBSTITUTE($F$2, CHAR(10), " "),calc!B88)</f>
        <v>#VALUE!</v>
      </c>
      <c r="D88" t="e">
        <f>MID($F$2,calc!B88,calc!C88-calc!B88)</f>
        <v>#VALUE!</v>
      </c>
    </row>
    <row r="89" spans="1:4" ht="16.5" customHeight="1">
      <c r="A89" s="2" t="str">
        <f>IF(COUNTIF(D:D,database!D89), database!G89, "")</f>
        <v/>
      </c>
      <c r="B89" s="2" t="e">
        <f t="shared" si="2"/>
        <v>#VALUE!</v>
      </c>
      <c r="C89" t="e">
        <f>FIND(" ",SUBSTITUTE($F$2, CHAR(10), " "),calc!B89)</f>
        <v>#VALUE!</v>
      </c>
      <c r="D89" t="e">
        <f>MID($F$2,calc!B89,calc!C89-calc!B89)</f>
        <v>#VALUE!</v>
      </c>
    </row>
    <row r="90" spans="1:4" ht="16.5" customHeight="1">
      <c r="A90" s="2" t="str">
        <f>IF(COUNTIF(D:D,database!D90), database!G90, "")</f>
        <v/>
      </c>
      <c r="B90" s="2" t="e">
        <f t="shared" si="2"/>
        <v>#VALUE!</v>
      </c>
      <c r="C90" t="e">
        <f>FIND(" ",SUBSTITUTE($F$2, CHAR(10), " "),calc!B90)</f>
        <v>#VALUE!</v>
      </c>
      <c r="D90" t="e">
        <f>MID($F$2,calc!B90,calc!C90-calc!B90)</f>
        <v>#VALUE!</v>
      </c>
    </row>
    <row r="91" spans="1:4" ht="16.5" customHeight="1">
      <c r="A91" s="2" t="str">
        <f>IF(COUNTIF(D:D,database!D91), database!G91, "")</f>
        <v/>
      </c>
      <c r="B91" s="2" t="e">
        <f t="shared" si="2"/>
        <v>#VALUE!</v>
      </c>
      <c r="C91" t="e">
        <f>FIND(" ",SUBSTITUTE($F$2, CHAR(10), " "),calc!B91)</f>
        <v>#VALUE!</v>
      </c>
      <c r="D91" t="e">
        <f>MID($F$2,calc!B91,calc!C91-calc!B91)</f>
        <v>#VALUE!</v>
      </c>
    </row>
    <row r="92" spans="1:4" ht="16.5" customHeight="1">
      <c r="A92" s="2" t="str">
        <f>IF(COUNTIF(D:D,database!D92), database!G92, "")</f>
        <v/>
      </c>
      <c r="B92" s="2" t="e">
        <f t="shared" si="2"/>
        <v>#VALUE!</v>
      </c>
      <c r="C92" t="e">
        <f>FIND(" ",SUBSTITUTE($F$2, CHAR(10), " "),calc!B92)</f>
        <v>#VALUE!</v>
      </c>
      <c r="D92" t="e">
        <f>MID($F$2,calc!B92,calc!C92-calc!B92)</f>
        <v>#VALUE!</v>
      </c>
    </row>
    <row r="93" spans="1:4" ht="16.5" customHeight="1">
      <c r="A93" s="2" t="str">
        <f>IF(COUNTIF(D:D,database!D93), database!G93, "")</f>
        <v/>
      </c>
      <c r="B93" s="2" t="e">
        <f t="shared" si="2"/>
        <v>#VALUE!</v>
      </c>
      <c r="C93" t="e">
        <f>FIND(" ",SUBSTITUTE($F$2, CHAR(10), " "),calc!B93)</f>
        <v>#VALUE!</v>
      </c>
      <c r="D93" t="e">
        <f>MID($F$2,calc!B93,calc!C93-calc!B93)</f>
        <v>#VALUE!</v>
      </c>
    </row>
    <row r="94" spans="1:4" ht="16.5" customHeight="1">
      <c r="A94" s="2" t="str">
        <f>IF(COUNTIF(D:D,database!D94), database!G94, "")</f>
        <v/>
      </c>
      <c r="B94" s="2" t="e">
        <f t="shared" si="2"/>
        <v>#VALUE!</v>
      </c>
      <c r="C94" t="e">
        <f>FIND(" ",SUBSTITUTE($F$2, CHAR(10), " "),calc!B94)</f>
        <v>#VALUE!</v>
      </c>
      <c r="D94" t="e">
        <f>MID($F$2,calc!B94,calc!C94-calc!B94)</f>
        <v>#VALUE!</v>
      </c>
    </row>
    <row r="95" spans="1:4" ht="16.5" customHeight="1">
      <c r="A95" s="2" t="str">
        <f>IF(COUNTIF(D:D,database!D95), database!G95, "")</f>
        <v/>
      </c>
      <c r="B95" s="2" t="e">
        <f t="shared" si="2"/>
        <v>#VALUE!</v>
      </c>
      <c r="C95" t="e">
        <f>FIND(" ",SUBSTITUTE($F$2, CHAR(10), " "),calc!B95)</f>
        <v>#VALUE!</v>
      </c>
      <c r="D95" t="e">
        <f>MID($F$2,calc!B95,calc!C95-calc!B95)</f>
        <v>#VALUE!</v>
      </c>
    </row>
    <row r="96" spans="1:4" ht="16.5" customHeight="1">
      <c r="A96" s="2" t="str">
        <f>IF(COUNTIF(D:D,database!D96), database!G96, "")</f>
        <v/>
      </c>
      <c r="B96" s="2" t="e">
        <f t="shared" si="2"/>
        <v>#VALUE!</v>
      </c>
      <c r="C96" t="e">
        <f>FIND(" ",SUBSTITUTE($F$2, CHAR(10), " "),calc!B96)</f>
        <v>#VALUE!</v>
      </c>
      <c r="D96" t="e">
        <f>MID($F$2,calc!B96,calc!C96-calc!B96)</f>
        <v>#VALUE!</v>
      </c>
    </row>
    <row r="97" spans="1:4" ht="16.5" customHeight="1">
      <c r="A97" s="2" t="str">
        <f>IF(COUNTIF(D:D,database!D97), database!G97, "")</f>
        <v/>
      </c>
      <c r="B97" s="2" t="e">
        <f t="shared" si="2"/>
        <v>#VALUE!</v>
      </c>
      <c r="C97" t="e">
        <f>FIND(" ",SUBSTITUTE($F$2, CHAR(10), " "),calc!B97)</f>
        <v>#VALUE!</v>
      </c>
      <c r="D97" t="e">
        <f>MID($F$2,calc!B97,calc!C97-calc!B97)</f>
        <v>#VALUE!</v>
      </c>
    </row>
    <row r="98" spans="1:4" ht="16.5" customHeight="1">
      <c r="A98" s="2" t="str">
        <f>IF(COUNTIF(D:D,database!D98), database!G98, "")</f>
        <v/>
      </c>
      <c r="B98" s="2" t="e">
        <f t="shared" si="2"/>
        <v>#VALUE!</v>
      </c>
      <c r="C98" t="e">
        <f>FIND(" ",SUBSTITUTE($F$2, CHAR(10), " "),calc!B98)</f>
        <v>#VALUE!</v>
      </c>
      <c r="D98" t="e">
        <f>MID($F$2,calc!B98,calc!C98-calc!B98)</f>
        <v>#VALUE!</v>
      </c>
    </row>
    <row r="99" spans="1:4" ht="16.5" customHeight="1">
      <c r="A99" s="2" t="str">
        <f>IF(COUNTIF(D:D,database!D99), database!G99, "")</f>
        <v/>
      </c>
      <c r="B99" s="2" t="e">
        <f t="shared" si="2"/>
        <v>#VALUE!</v>
      </c>
      <c r="C99" t="e">
        <f>FIND(" ",SUBSTITUTE($F$2, CHAR(10), " "),calc!B99)</f>
        <v>#VALUE!</v>
      </c>
      <c r="D99" t="e">
        <f>MID($F$2,calc!B99,calc!C99-calc!B99)</f>
        <v>#VALUE!</v>
      </c>
    </row>
    <row r="100" spans="1:4" ht="16.5" customHeight="1">
      <c r="A100" s="2" t="str">
        <f>IF(COUNTIF(D:D,database!D100), database!G100, "")</f>
        <v/>
      </c>
      <c r="B100" s="2" t="e">
        <f t="shared" si="2"/>
        <v>#VALUE!</v>
      </c>
      <c r="C100" t="e">
        <f>FIND(" ",SUBSTITUTE($F$2, CHAR(10), " "),calc!B100)</f>
        <v>#VALUE!</v>
      </c>
      <c r="D100" t="e">
        <f>MID($F$2,calc!B100,calc!C100-calc!B100)</f>
        <v>#VALUE!</v>
      </c>
    </row>
    <row r="101" spans="1:4" ht="16.5" customHeight="1">
      <c r="A101" s="2" t="str">
        <f>IF(COUNTIF(D:D,database!D101), database!G101, "")</f>
        <v/>
      </c>
      <c r="B101" s="2" t="e">
        <f t="shared" si="2"/>
        <v>#VALUE!</v>
      </c>
      <c r="C101" t="e">
        <f>FIND(" ",SUBSTITUTE($F$2, CHAR(10), " "),calc!B101)</f>
        <v>#VALUE!</v>
      </c>
      <c r="D101" t="e">
        <f>MID($F$2,calc!B101,calc!C101-calc!B101)</f>
        <v>#VALUE!</v>
      </c>
    </row>
    <row r="102" spans="1:4" ht="16.5" customHeight="1">
      <c r="A102" s="2" t="str">
        <f>IF(COUNTIF(D:D,database!D102), database!G102, "")</f>
        <v/>
      </c>
      <c r="B102" s="2" t="e">
        <f t="shared" si="2"/>
        <v>#VALUE!</v>
      </c>
      <c r="C102" t="e">
        <f>FIND(" ",SUBSTITUTE($F$2, CHAR(10), " "),calc!B102)</f>
        <v>#VALUE!</v>
      </c>
      <c r="D102" t="e">
        <f>MID($F$2,calc!B102,calc!C102-calc!B102)</f>
        <v>#VALUE!</v>
      </c>
    </row>
    <row r="103" spans="1:4" ht="16.5" customHeight="1">
      <c r="A103" s="2" t="str">
        <f>IF(COUNTIF(D:D,database!D103), database!G103, "")</f>
        <v/>
      </c>
      <c r="B103" s="2" t="e">
        <f t="shared" si="2"/>
        <v>#VALUE!</v>
      </c>
      <c r="C103" t="e">
        <f>FIND(" ",SUBSTITUTE($F$2, CHAR(10), " "),calc!B103)</f>
        <v>#VALUE!</v>
      </c>
      <c r="D103" t="e">
        <f>MID($F$2,calc!B103,calc!C103-calc!B103)</f>
        <v>#VALUE!</v>
      </c>
    </row>
    <row r="104" spans="1:4" ht="16.5" customHeight="1">
      <c r="A104" s="2" t="str">
        <f>IF(COUNTIF(D:D,database!D104), database!G104, "")</f>
        <v/>
      </c>
      <c r="B104" s="2" t="e">
        <f t="shared" si="2"/>
        <v>#VALUE!</v>
      </c>
      <c r="C104" t="e">
        <f>FIND(" ",SUBSTITUTE($F$2, CHAR(10), " "),calc!B104)</f>
        <v>#VALUE!</v>
      </c>
      <c r="D104" t="e">
        <f>MID($F$2,calc!B104,calc!C104-calc!B104)</f>
        <v>#VALUE!</v>
      </c>
    </row>
    <row r="105" spans="1:4" ht="16.5" customHeight="1">
      <c r="A105" s="2" t="str">
        <f>IF(COUNTIF(D:D,database!D105), database!G105, "")</f>
        <v/>
      </c>
      <c r="B105" s="2" t="e">
        <f t="shared" si="2"/>
        <v>#VALUE!</v>
      </c>
      <c r="C105" t="e">
        <f>FIND(" ",SUBSTITUTE($F$2, CHAR(10), " "),calc!B105)</f>
        <v>#VALUE!</v>
      </c>
      <c r="D105" t="e">
        <f>MID($F$2,calc!B105,calc!C105-calc!B105)</f>
        <v>#VALUE!</v>
      </c>
    </row>
    <row r="106" spans="1:4" ht="16.5" customHeight="1">
      <c r="A106" s="2" t="str">
        <f>IF(COUNTIF(D:D,database!D106), database!G106, "")</f>
        <v/>
      </c>
      <c r="B106" s="2" t="e">
        <f t="shared" si="2"/>
        <v>#VALUE!</v>
      </c>
      <c r="C106" t="e">
        <f>FIND(" ",SUBSTITUTE($F$2, CHAR(10), " "),calc!B106)</f>
        <v>#VALUE!</v>
      </c>
      <c r="D106" t="e">
        <f>MID($F$2,calc!B106,calc!C106-calc!B106)</f>
        <v>#VALUE!</v>
      </c>
    </row>
    <row r="107" spans="1:4" ht="16.5" customHeight="1">
      <c r="A107" s="2" t="str">
        <f>IF(COUNTIF(D:D,database!D107), database!G107, "")</f>
        <v/>
      </c>
      <c r="B107" s="2" t="e">
        <f t="shared" si="2"/>
        <v>#VALUE!</v>
      </c>
      <c r="C107" t="e">
        <f>FIND(" ",SUBSTITUTE($F$2, CHAR(10), " "),calc!B107)</f>
        <v>#VALUE!</v>
      </c>
      <c r="D107" t="e">
        <f>MID($F$2,calc!B107,calc!C107-calc!B107)</f>
        <v>#VALUE!</v>
      </c>
    </row>
    <row r="108" spans="1:4" ht="16.5" customHeight="1">
      <c r="A108" s="2" t="str">
        <f>IF(COUNTIF(D:D,database!D108), database!G108, "")</f>
        <v/>
      </c>
      <c r="B108" s="2" t="e">
        <f t="shared" si="2"/>
        <v>#VALUE!</v>
      </c>
      <c r="C108" t="e">
        <f>FIND(" ",SUBSTITUTE($F$2, CHAR(10), " "),calc!B108)</f>
        <v>#VALUE!</v>
      </c>
      <c r="D108" t="e">
        <f>MID($F$2,calc!B108,calc!C108-calc!B108)</f>
        <v>#VALUE!</v>
      </c>
    </row>
    <row r="109" spans="1:4" ht="16.5" customHeight="1">
      <c r="A109" s="2" t="str">
        <f>IF(COUNTIF(D:D,database!D109), database!G109, "")</f>
        <v/>
      </c>
      <c r="B109" s="2" t="e">
        <f t="shared" si="2"/>
        <v>#VALUE!</v>
      </c>
      <c r="C109" t="e">
        <f>FIND(" ",SUBSTITUTE($F$2, CHAR(10), " "),calc!B109)</f>
        <v>#VALUE!</v>
      </c>
      <c r="D109" t="e">
        <f>MID($F$2,calc!B109,calc!C109-calc!B109)</f>
        <v>#VALUE!</v>
      </c>
    </row>
    <row r="110" spans="1:4" ht="16.5" customHeight="1">
      <c r="A110" s="2" t="str">
        <f>IF(COUNTIF(D:D,database!D110), database!G110, "")</f>
        <v/>
      </c>
      <c r="B110" s="2" t="e">
        <f t="shared" si="2"/>
        <v>#VALUE!</v>
      </c>
      <c r="C110" t="e">
        <f>FIND(" ",SUBSTITUTE($F$2, CHAR(10), " "),calc!B110)</f>
        <v>#VALUE!</v>
      </c>
      <c r="D110" t="e">
        <f>MID($F$2,calc!B110,calc!C110-calc!B110)</f>
        <v>#VALUE!</v>
      </c>
    </row>
    <row r="111" spans="1:4" ht="16.5" customHeight="1">
      <c r="A111" s="2" t="str">
        <f>IF(COUNTIF(D:D,database!D111), database!G111, "")</f>
        <v/>
      </c>
      <c r="B111" s="2" t="e">
        <f t="shared" si="2"/>
        <v>#VALUE!</v>
      </c>
      <c r="C111" t="e">
        <f>FIND(" ",SUBSTITUTE($F$2, CHAR(10), " "),calc!B111)</f>
        <v>#VALUE!</v>
      </c>
      <c r="D111" t="e">
        <f>MID($F$2,calc!B111,calc!C111-calc!B111)</f>
        <v>#VALUE!</v>
      </c>
    </row>
    <row r="112" spans="1:4" ht="16.5" customHeight="1">
      <c r="A112" s="2" t="str">
        <f>IF(COUNTIF(D:D,database!D112), database!G112, "")</f>
        <v/>
      </c>
      <c r="B112" s="2" t="e">
        <f t="shared" si="2"/>
        <v>#VALUE!</v>
      </c>
      <c r="C112" t="e">
        <f>FIND(" ",SUBSTITUTE($F$2, CHAR(10), " "),calc!B112)</f>
        <v>#VALUE!</v>
      </c>
      <c r="D112" t="e">
        <f>MID($F$2,calc!B112,calc!C112-calc!B112)</f>
        <v>#VALUE!</v>
      </c>
    </row>
    <row r="113" spans="1:4" ht="16.5" customHeight="1">
      <c r="A113" s="2" t="str">
        <f>IF(COUNTIF(D:D,database!D113), database!G113, "")</f>
        <v/>
      </c>
      <c r="B113" s="2" t="e">
        <f t="shared" si="2"/>
        <v>#VALUE!</v>
      </c>
      <c r="C113" t="e">
        <f>FIND(" ",SUBSTITUTE($F$2, CHAR(10), " "),calc!B113)</f>
        <v>#VALUE!</v>
      </c>
      <c r="D113" t="e">
        <f>MID($F$2,calc!B113,calc!C113-calc!B113)</f>
        <v>#VALUE!</v>
      </c>
    </row>
    <row r="114" spans="1:4" ht="16.5" customHeight="1">
      <c r="A114" s="2" t="str">
        <f>IF(COUNTIF(D:D,database!D114), database!G114, "")</f>
        <v/>
      </c>
      <c r="B114" s="2" t="e">
        <f t="shared" si="2"/>
        <v>#VALUE!</v>
      </c>
      <c r="C114" t="e">
        <f>FIND(" ",SUBSTITUTE($F$2, CHAR(10), " "),calc!B114)</f>
        <v>#VALUE!</v>
      </c>
      <c r="D114" t="e">
        <f>MID($F$2,calc!B114,calc!C114-calc!B114)</f>
        <v>#VALUE!</v>
      </c>
    </row>
    <row r="115" spans="1:4" ht="16.5" customHeight="1">
      <c r="A115" s="2" t="str">
        <f>IF(COUNTIF(D:D,database!D115), database!G115, "")</f>
        <v/>
      </c>
      <c r="B115" s="2" t="e">
        <f t="shared" si="2"/>
        <v>#VALUE!</v>
      </c>
      <c r="C115" t="e">
        <f>FIND(" ",SUBSTITUTE($F$2, CHAR(10), " "),calc!B115)</f>
        <v>#VALUE!</v>
      </c>
      <c r="D115" t="e">
        <f>MID($F$2,calc!B115,calc!C115-calc!B115)</f>
        <v>#VALUE!</v>
      </c>
    </row>
    <row r="116" spans="1:4" ht="16.5" customHeight="1">
      <c r="A116" s="2" t="str">
        <f>IF(COUNTIF(D:D,database!D116), database!G116, "")</f>
        <v/>
      </c>
      <c r="B116" s="2" t="e">
        <f t="shared" si="2"/>
        <v>#VALUE!</v>
      </c>
      <c r="C116" t="e">
        <f>FIND(" ",SUBSTITUTE($F$2, CHAR(10), " "),calc!B116)</f>
        <v>#VALUE!</v>
      </c>
      <c r="D116" t="e">
        <f>MID($F$2,calc!B116,calc!C116-calc!B116)</f>
        <v>#VALUE!</v>
      </c>
    </row>
    <row r="117" spans="1:4" ht="16.5" customHeight="1">
      <c r="A117" s="2" t="str">
        <f>IF(COUNTIF(D:D,database!D117), database!G117, "")</f>
        <v/>
      </c>
      <c r="B117" s="2" t="e">
        <f t="shared" si="2"/>
        <v>#VALUE!</v>
      </c>
      <c r="C117" t="e">
        <f>FIND(" ",SUBSTITUTE($F$2, CHAR(10), " "),calc!B117)</f>
        <v>#VALUE!</v>
      </c>
      <c r="D117" t="e">
        <f>MID($F$2,calc!B117,calc!C117-calc!B117)</f>
        <v>#VALUE!</v>
      </c>
    </row>
    <row r="118" spans="1:4" ht="16.5" customHeight="1">
      <c r="A118" s="2" t="str">
        <f>IF(COUNTIF(D:D,database!D118), database!G118, "")</f>
        <v/>
      </c>
      <c r="B118" s="2" t="e">
        <f t="shared" si="2"/>
        <v>#VALUE!</v>
      </c>
      <c r="C118" t="e">
        <f>FIND(" ",SUBSTITUTE($F$2, CHAR(10), " "),calc!B118)</f>
        <v>#VALUE!</v>
      </c>
      <c r="D118" t="e">
        <f>MID($F$2,calc!B118,calc!C118-calc!B118)</f>
        <v>#VALUE!</v>
      </c>
    </row>
    <row r="119" spans="1:4" ht="16.5" customHeight="1">
      <c r="A119" s="2" t="str">
        <f>IF(COUNTIF(D:D,database!D119), database!G119, "")</f>
        <v/>
      </c>
      <c r="B119" s="2" t="e">
        <f t="shared" si="2"/>
        <v>#VALUE!</v>
      </c>
      <c r="C119" t="e">
        <f>FIND(" ",SUBSTITUTE($F$2, CHAR(10), " "),calc!B119)</f>
        <v>#VALUE!</v>
      </c>
      <c r="D119" t="e">
        <f>MID($F$2,calc!B119,calc!C119-calc!B119)</f>
        <v>#VALUE!</v>
      </c>
    </row>
    <row r="120" spans="1:4" ht="16.5" customHeight="1">
      <c r="A120" s="2" t="str">
        <f>IF(COUNTIF(D:D,database!D120), database!G120, "")</f>
        <v/>
      </c>
      <c r="B120" s="2" t="e">
        <f t="shared" si="2"/>
        <v>#VALUE!</v>
      </c>
      <c r="C120" t="e">
        <f>FIND(" ",SUBSTITUTE($F$2, CHAR(10), " "),calc!B120)</f>
        <v>#VALUE!</v>
      </c>
      <c r="D120" t="e">
        <f>MID($F$2,calc!B120,calc!C120-calc!B120)</f>
        <v>#VALUE!</v>
      </c>
    </row>
    <row r="121" spans="1:4" ht="16.5" customHeight="1">
      <c r="A121" s="2" t="str">
        <f>IF(COUNTIF(D:D,database!D121), database!G121, "")</f>
        <v/>
      </c>
      <c r="B121" s="2" t="e">
        <f t="shared" si="2"/>
        <v>#VALUE!</v>
      </c>
      <c r="C121" t="e">
        <f>FIND(" ",SUBSTITUTE($F$2, CHAR(10), " "),calc!B121)</f>
        <v>#VALUE!</v>
      </c>
      <c r="D121" t="e">
        <f>MID($F$2,calc!B121,calc!C121-calc!B121)</f>
        <v>#VALUE!</v>
      </c>
    </row>
    <row r="122" spans="1:4" ht="16.5" customHeight="1">
      <c r="A122" s="2" t="str">
        <f>IF(COUNTIF(D:D,database!D122), database!G122, "")</f>
        <v/>
      </c>
      <c r="B122" s="2" t="e">
        <f t="shared" si="2"/>
        <v>#VALUE!</v>
      </c>
      <c r="C122" t="e">
        <f>FIND(" ",SUBSTITUTE($F$2, CHAR(10), " "),calc!B122)</f>
        <v>#VALUE!</v>
      </c>
      <c r="D122" t="e">
        <f>MID($F$2,calc!B122,calc!C122-calc!B122)</f>
        <v>#VALUE!</v>
      </c>
    </row>
    <row r="123" spans="1:4" ht="16.5" customHeight="1">
      <c r="A123" s="2" t="str">
        <f>IF(COUNTIF(D:D,database!D123), database!G123, "")</f>
        <v/>
      </c>
      <c r="B123" s="2" t="e">
        <f t="shared" si="2"/>
        <v>#VALUE!</v>
      </c>
      <c r="C123" t="e">
        <f>FIND(" ",SUBSTITUTE($F$2, CHAR(10), " "),calc!B123)</f>
        <v>#VALUE!</v>
      </c>
      <c r="D123" t="e">
        <f>MID($F$2,calc!B123,calc!C123-calc!B123)</f>
        <v>#VALUE!</v>
      </c>
    </row>
    <row r="124" spans="1:4" ht="16.5" customHeight="1">
      <c r="A124" s="2" t="str">
        <f>IF(COUNTIF(D:D,database!D124), database!G124, "")</f>
        <v/>
      </c>
      <c r="B124" s="2" t="e">
        <f t="shared" si="2"/>
        <v>#VALUE!</v>
      </c>
      <c r="C124" t="e">
        <f>FIND(" ",SUBSTITUTE($F$2, CHAR(10), " "),calc!B124)</f>
        <v>#VALUE!</v>
      </c>
      <c r="D124" t="e">
        <f>MID($F$2,calc!B124,calc!C124-calc!B124)</f>
        <v>#VALUE!</v>
      </c>
    </row>
    <row r="125" spans="1:4" ht="16.5" customHeight="1">
      <c r="A125" s="2" t="str">
        <f>IF(COUNTIF(D:D,database!D125), database!G125, "")</f>
        <v/>
      </c>
      <c r="B125" s="2" t="e">
        <f t="shared" si="2"/>
        <v>#VALUE!</v>
      </c>
      <c r="C125" t="e">
        <f>FIND(" ",SUBSTITUTE($F$2, CHAR(10), " "),calc!B125)</f>
        <v>#VALUE!</v>
      </c>
      <c r="D125" t="e">
        <f>MID($F$2,calc!B125,calc!C125-calc!B125)</f>
        <v>#VALUE!</v>
      </c>
    </row>
    <row r="126" spans="1:4" ht="16.5" customHeight="1">
      <c r="A126" s="2" t="str">
        <f>IF(COUNTIF(D:D,database!D126), database!G126, "")</f>
        <v/>
      </c>
      <c r="B126" s="2" t="e">
        <f t="shared" si="2"/>
        <v>#VALUE!</v>
      </c>
      <c r="C126" t="e">
        <f>FIND(" ",SUBSTITUTE($F$2, CHAR(10), " "),calc!B126)</f>
        <v>#VALUE!</v>
      </c>
      <c r="D126" t="e">
        <f>MID($F$2,calc!B126,calc!C126-calc!B126)</f>
        <v>#VALUE!</v>
      </c>
    </row>
    <row r="127" spans="1:4" ht="16.5" customHeight="1">
      <c r="A127" s="2" t="str">
        <f>IF(COUNTIF(D:D,database!D127), database!G127, "")</f>
        <v/>
      </c>
      <c r="B127" s="2" t="e">
        <f t="shared" si="2"/>
        <v>#VALUE!</v>
      </c>
      <c r="C127" t="e">
        <f>FIND(" ",SUBSTITUTE($F$2, CHAR(10), " "),calc!B127)</f>
        <v>#VALUE!</v>
      </c>
      <c r="D127" t="e">
        <f>MID($F$2,calc!B127,calc!C127-calc!B127)</f>
        <v>#VALUE!</v>
      </c>
    </row>
    <row r="128" spans="1:4" ht="16.5" customHeight="1">
      <c r="A128" s="2" t="str">
        <f>IF(COUNTIF(D:D,database!D128), database!G128, "")</f>
        <v/>
      </c>
      <c r="B128" s="2" t="e">
        <f t="shared" si="2"/>
        <v>#VALUE!</v>
      </c>
      <c r="C128" t="e">
        <f>FIND(" ",SUBSTITUTE($F$2, CHAR(10), " "),calc!B128)</f>
        <v>#VALUE!</v>
      </c>
      <c r="D128" t="e">
        <f>MID($F$2,calc!B128,calc!C128-calc!B128)</f>
        <v>#VALUE!</v>
      </c>
    </row>
    <row r="129" spans="1:4" ht="16.5" customHeight="1">
      <c r="A129" s="2" t="str">
        <f>IF(COUNTIF(D:D,database!D129), database!G129, "")</f>
        <v/>
      </c>
      <c r="B129" s="2" t="e">
        <f t="shared" si="2"/>
        <v>#VALUE!</v>
      </c>
      <c r="C129" t="e">
        <f>FIND(" ",SUBSTITUTE($F$2, CHAR(10), " "),calc!B129)</f>
        <v>#VALUE!</v>
      </c>
      <c r="D129" t="e">
        <f>MID($F$2,calc!B129,calc!C129-calc!B129)</f>
        <v>#VALUE!</v>
      </c>
    </row>
    <row r="130" spans="1:4" ht="16.5" customHeight="1">
      <c r="A130" s="2" t="str">
        <f>IF(COUNTIF(D:D,database!D130), database!G130, "")</f>
        <v/>
      </c>
      <c r="B130" s="2" t="e">
        <f t="shared" si="2"/>
        <v>#VALUE!</v>
      </c>
      <c r="C130" t="e">
        <f>FIND(" ",SUBSTITUTE($F$2, CHAR(10), " "),calc!B130)</f>
        <v>#VALUE!</v>
      </c>
      <c r="D130" t="e">
        <f>MID($F$2,calc!B130,calc!C130-calc!B130)</f>
        <v>#VALUE!</v>
      </c>
    </row>
    <row r="131" spans="1:4" ht="16.5" customHeight="1">
      <c r="A131" s="2" t="str">
        <f>IF(COUNTIF(D:D,database!D131), database!G131, "")</f>
        <v/>
      </c>
      <c r="B131" s="2" t="e">
        <f t="shared" ref="B131:B194" si="3">FIND("#", $F$2, B130 +1)</f>
        <v>#VALUE!</v>
      </c>
      <c r="C131" t="e">
        <f>FIND(" ",SUBSTITUTE($F$2, CHAR(10), " "),calc!B131)</f>
        <v>#VALUE!</v>
      </c>
      <c r="D131" t="e">
        <f>MID($F$2,calc!B131,calc!C131-calc!B131)</f>
        <v>#VALUE!</v>
      </c>
    </row>
    <row r="132" spans="1:4" ht="16.5" customHeight="1">
      <c r="A132" s="2" t="str">
        <f>IF(COUNTIF(D:D,database!D132), database!G132, "")</f>
        <v/>
      </c>
      <c r="B132" s="2" t="e">
        <f t="shared" si="3"/>
        <v>#VALUE!</v>
      </c>
      <c r="C132" t="e">
        <f>FIND(" ",SUBSTITUTE($F$2, CHAR(10), " "),calc!B132)</f>
        <v>#VALUE!</v>
      </c>
      <c r="D132" t="e">
        <f>MID($F$2,calc!B132,calc!C132-calc!B132)</f>
        <v>#VALUE!</v>
      </c>
    </row>
    <row r="133" spans="1:4" ht="16.5" customHeight="1">
      <c r="A133" s="2" t="str">
        <f>IF(COUNTIF(D:D,database!D133), database!G133, "")</f>
        <v/>
      </c>
      <c r="B133" s="2" t="e">
        <f t="shared" si="3"/>
        <v>#VALUE!</v>
      </c>
      <c r="C133" t="e">
        <f>FIND(" ",SUBSTITUTE($F$2, CHAR(10), " "),calc!B133)</f>
        <v>#VALUE!</v>
      </c>
      <c r="D133" t="e">
        <f>MID($F$2,calc!B133,calc!C133-calc!B133)</f>
        <v>#VALUE!</v>
      </c>
    </row>
    <row r="134" spans="1:4" ht="16.5" customHeight="1">
      <c r="A134" s="2" t="str">
        <f>IF(COUNTIF(D:D,database!D134), database!G134, "")</f>
        <v/>
      </c>
      <c r="B134" s="2" t="e">
        <f t="shared" si="3"/>
        <v>#VALUE!</v>
      </c>
      <c r="C134" t="e">
        <f>FIND(" ",SUBSTITUTE($F$2, CHAR(10), " "),calc!B134)</f>
        <v>#VALUE!</v>
      </c>
      <c r="D134" t="e">
        <f>MID($F$2,calc!B134,calc!C134-calc!B134)</f>
        <v>#VALUE!</v>
      </c>
    </row>
    <row r="135" spans="1:4" ht="16.5" customHeight="1">
      <c r="A135" s="2" t="str">
        <f>IF(COUNTIF(D:D,database!D135), database!G135, "")</f>
        <v/>
      </c>
      <c r="B135" s="2" t="e">
        <f t="shared" si="3"/>
        <v>#VALUE!</v>
      </c>
      <c r="C135" t="e">
        <f>FIND(" ",SUBSTITUTE($F$2, CHAR(10), " "),calc!B135)</f>
        <v>#VALUE!</v>
      </c>
      <c r="D135" t="e">
        <f>MID($F$2,calc!B135,calc!C135-calc!B135)</f>
        <v>#VALUE!</v>
      </c>
    </row>
    <row r="136" spans="1:4" ht="16.5" customHeight="1">
      <c r="A136" s="2" t="str">
        <f>IF(COUNTIF(D:D,database!D136), database!G136, "")</f>
        <v/>
      </c>
      <c r="B136" s="2" t="e">
        <f t="shared" si="3"/>
        <v>#VALUE!</v>
      </c>
      <c r="C136" t="e">
        <f>FIND(" ",SUBSTITUTE($F$2, CHAR(10), " "),calc!B136)</f>
        <v>#VALUE!</v>
      </c>
      <c r="D136" t="e">
        <f>MID($F$2,calc!B136,calc!C136-calc!B136)</f>
        <v>#VALUE!</v>
      </c>
    </row>
    <row r="137" spans="1:4" ht="16.5" customHeight="1">
      <c r="A137" s="2" t="str">
        <f>IF(COUNTIF(D:D,database!D137), database!G137, "")</f>
        <v/>
      </c>
      <c r="B137" s="2" t="e">
        <f t="shared" si="3"/>
        <v>#VALUE!</v>
      </c>
      <c r="C137" t="e">
        <f>FIND(" ",SUBSTITUTE($F$2, CHAR(10), " "),calc!B137)</f>
        <v>#VALUE!</v>
      </c>
      <c r="D137" t="e">
        <f>MID($F$2,calc!B137,calc!C137-calc!B137)</f>
        <v>#VALUE!</v>
      </c>
    </row>
    <row r="138" spans="1:4" ht="16.5" customHeight="1">
      <c r="A138" s="2" t="str">
        <f>IF(COUNTIF(D:D,database!D138), database!G138, "")</f>
        <v/>
      </c>
      <c r="B138" s="2" t="e">
        <f t="shared" si="3"/>
        <v>#VALUE!</v>
      </c>
      <c r="C138" t="e">
        <f>FIND(" ",SUBSTITUTE($F$2, CHAR(10), " "),calc!B138)</f>
        <v>#VALUE!</v>
      </c>
      <c r="D138" t="e">
        <f>MID($F$2,calc!B138,calc!C138-calc!B138)</f>
        <v>#VALUE!</v>
      </c>
    </row>
    <row r="139" spans="1:4" ht="16.5" customHeight="1">
      <c r="A139" s="2" t="str">
        <f>IF(COUNTIF(D:D,database!D139), database!G139, "")</f>
        <v/>
      </c>
      <c r="B139" s="2" t="e">
        <f t="shared" si="3"/>
        <v>#VALUE!</v>
      </c>
      <c r="C139" t="e">
        <f>FIND(" ",SUBSTITUTE($F$2, CHAR(10), " "),calc!B139)</f>
        <v>#VALUE!</v>
      </c>
      <c r="D139" t="e">
        <f>MID($F$2,calc!B139,calc!C139-calc!B139)</f>
        <v>#VALUE!</v>
      </c>
    </row>
    <row r="140" spans="1:4" ht="16.5" customHeight="1">
      <c r="A140" s="2" t="str">
        <f>IF(COUNTIF(D:D,database!D140), database!G140, "")</f>
        <v/>
      </c>
      <c r="B140" s="2" t="e">
        <f t="shared" si="3"/>
        <v>#VALUE!</v>
      </c>
      <c r="C140" t="e">
        <f>FIND(" ",SUBSTITUTE($F$2, CHAR(10), " "),calc!B140)</f>
        <v>#VALUE!</v>
      </c>
      <c r="D140" t="e">
        <f>MID($F$2,calc!B140,calc!C140-calc!B140)</f>
        <v>#VALUE!</v>
      </c>
    </row>
    <row r="141" spans="1:4" ht="16.5" customHeight="1">
      <c r="A141" s="2" t="str">
        <f>IF(COUNTIF(D:D,database!D141), database!G141, "")</f>
        <v/>
      </c>
      <c r="B141" s="2" t="e">
        <f t="shared" si="3"/>
        <v>#VALUE!</v>
      </c>
      <c r="C141" t="e">
        <f>FIND(" ",SUBSTITUTE($F$2, CHAR(10), " "),calc!B141)</f>
        <v>#VALUE!</v>
      </c>
      <c r="D141" t="e">
        <f>MID($F$2,calc!B141,calc!C141-calc!B141)</f>
        <v>#VALUE!</v>
      </c>
    </row>
    <row r="142" spans="1:4" ht="16.5" customHeight="1">
      <c r="A142" s="2" t="str">
        <f>IF(COUNTIF(D:D,database!D142), database!G142, "")</f>
        <v/>
      </c>
      <c r="B142" s="2" t="e">
        <f t="shared" si="3"/>
        <v>#VALUE!</v>
      </c>
      <c r="C142" t="e">
        <f>FIND(" ",SUBSTITUTE($F$2, CHAR(10), " "),calc!B142)</f>
        <v>#VALUE!</v>
      </c>
      <c r="D142" t="e">
        <f>MID($F$2,calc!B142,calc!C142-calc!B142)</f>
        <v>#VALUE!</v>
      </c>
    </row>
    <row r="143" spans="1:4" ht="16.5" customHeight="1">
      <c r="A143" s="2" t="str">
        <f>IF(COUNTIF(D:D,database!D143), database!G143, "")</f>
        <v/>
      </c>
      <c r="B143" s="2" t="e">
        <f t="shared" si="3"/>
        <v>#VALUE!</v>
      </c>
      <c r="C143" t="e">
        <f>FIND(" ",SUBSTITUTE($F$2, CHAR(10), " "),calc!B143)</f>
        <v>#VALUE!</v>
      </c>
      <c r="D143" t="e">
        <f>MID($F$2,calc!B143,calc!C143-calc!B143)</f>
        <v>#VALUE!</v>
      </c>
    </row>
    <row r="144" spans="1:4" ht="16.5" customHeight="1">
      <c r="A144" s="2" t="str">
        <f>IF(COUNTIF(D:D,database!D144), database!G144, "")</f>
        <v/>
      </c>
      <c r="B144" s="2" t="e">
        <f t="shared" si="3"/>
        <v>#VALUE!</v>
      </c>
      <c r="C144" t="e">
        <f>FIND(" ",SUBSTITUTE($F$2, CHAR(10), " "),calc!B144)</f>
        <v>#VALUE!</v>
      </c>
      <c r="D144" t="e">
        <f>MID($F$2,calc!B144,calc!C144-calc!B144)</f>
        <v>#VALUE!</v>
      </c>
    </row>
    <row r="145" spans="1:4" ht="16.5" customHeight="1">
      <c r="A145" s="2" t="str">
        <f>IF(COUNTIF(D:D,database!D145), database!G145, "")</f>
        <v/>
      </c>
      <c r="B145" s="2" t="e">
        <f t="shared" si="3"/>
        <v>#VALUE!</v>
      </c>
      <c r="C145" t="e">
        <f>FIND(" ",SUBSTITUTE($F$2, CHAR(10), " "),calc!B145)</f>
        <v>#VALUE!</v>
      </c>
      <c r="D145" t="e">
        <f>MID($F$2,calc!B145,calc!C145-calc!B145)</f>
        <v>#VALUE!</v>
      </c>
    </row>
    <row r="146" spans="1:4" ht="16.5" customHeight="1">
      <c r="A146" s="2" t="str">
        <f>IF(COUNTIF(D:D,database!D146), database!G146, "")</f>
        <v/>
      </c>
      <c r="B146" s="2" t="e">
        <f t="shared" si="3"/>
        <v>#VALUE!</v>
      </c>
      <c r="C146" t="e">
        <f>FIND(" ",SUBSTITUTE($F$2, CHAR(10), " "),calc!B146)</f>
        <v>#VALUE!</v>
      </c>
      <c r="D146" t="e">
        <f>MID($F$2,calc!B146,calc!C146-calc!B146)</f>
        <v>#VALUE!</v>
      </c>
    </row>
    <row r="147" spans="1:4" ht="16.5" customHeight="1">
      <c r="A147" s="2" t="str">
        <f>IF(COUNTIF(D:D,database!D147), database!G147, "")</f>
        <v/>
      </c>
      <c r="B147" s="2" t="e">
        <f t="shared" si="3"/>
        <v>#VALUE!</v>
      </c>
      <c r="C147" t="e">
        <f>FIND(" ",SUBSTITUTE($F$2, CHAR(10), " "),calc!B147)</f>
        <v>#VALUE!</v>
      </c>
      <c r="D147" t="e">
        <f>MID($F$2,calc!B147,calc!C147-calc!B147)</f>
        <v>#VALUE!</v>
      </c>
    </row>
    <row r="148" spans="1:4" ht="16.5" customHeight="1">
      <c r="A148" s="2" t="str">
        <f>IF(COUNTIF(D:D,database!D148), database!G148, "")</f>
        <v/>
      </c>
      <c r="B148" s="2" t="e">
        <f t="shared" si="3"/>
        <v>#VALUE!</v>
      </c>
      <c r="C148" t="e">
        <f>FIND(" ",SUBSTITUTE($F$2, CHAR(10), " "),calc!B148)</f>
        <v>#VALUE!</v>
      </c>
      <c r="D148" t="e">
        <f>MID($F$2,calc!B148,calc!C148-calc!B148)</f>
        <v>#VALUE!</v>
      </c>
    </row>
    <row r="149" spans="1:4" ht="16.5" customHeight="1">
      <c r="A149" s="2" t="str">
        <f>IF(COUNTIF(D:D,database!D149), database!G149, "")</f>
        <v/>
      </c>
      <c r="B149" s="2" t="e">
        <f t="shared" si="3"/>
        <v>#VALUE!</v>
      </c>
      <c r="C149" t="e">
        <f>FIND(" ",SUBSTITUTE($F$2, CHAR(10), " "),calc!B149)</f>
        <v>#VALUE!</v>
      </c>
      <c r="D149" t="e">
        <f>MID($F$2,calc!B149,calc!C149-calc!B149)</f>
        <v>#VALUE!</v>
      </c>
    </row>
    <row r="150" spans="1:4" ht="16.5" customHeight="1">
      <c r="A150" s="2" t="str">
        <f>IF(COUNTIF(D:D,database!D150), database!G150, "")</f>
        <v/>
      </c>
      <c r="B150" s="2" t="e">
        <f t="shared" si="3"/>
        <v>#VALUE!</v>
      </c>
      <c r="C150" t="e">
        <f>FIND(" ",SUBSTITUTE($F$2, CHAR(10), " "),calc!B150)</f>
        <v>#VALUE!</v>
      </c>
      <c r="D150" t="e">
        <f>MID($F$2,calc!B150,calc!C150-calc!B150)</f>
        <v>#VALUE!</v>
      </c>
    </row>
    <row r="151" spans="1:4" ht="16.5" customHeight="1">
      <c r="A151" s="2" t="str">
        <f>IF(COUNTIF(D:D,database!D151), database!G151, "")</f>
        <v/>
      </c>
      <c r="B151" s="2" t="e">
        <f t="shared" si="3"/>
        <v>#VALUE!</v>
      </c>
      <c r="C151" t="e">
        <f>FIND(" ",SUBSTITUTE($F$2, CHAR(10), " "),calc!B151)</f>
        <v>#VALUE!</v>
      </c>
      <c r="D151" t="e">
        <f>MID($F$2,calc!B151,calc!C151-calc!B151)</f>
        <v>#VALUE!</v>
      </c>
    </row>
    <row r="152" spans="1:4" ht="16.5" customHeight="1">
      <c r="A152" s="2" t="str">
        <f>IF(COUNTIF(D:D,database!D152), database!G152, "")</f>
        <v/>
      </c>
      <c r="B152" s="2" t="e">
        <f t="shared" si="3"/>
        <v>#VALUE!</v>
      </c>
      <c r="C152" t="e">
        <f>FIND(" ",SUBSTITUTE($F$2, CHAR(10), " "),calc!B152)</f>
        <v>#VALUE!</v>
      </c>
      <c r="D152" t="e">
        <f>MID($F$2,calc!B152,calc!C152-calc!B152)</f>
        <v>#VALUE!</v>
      </c>
    </row>
    <row r="153" spans="1:4" ht="16.5" customHeight="1">
      <c r="A153" s="2" t="str">
        <f>IF(COUNTIF(D:D,database!D153), database!G153, "")</f>
        <v/>
      </c>
      <c r="B153" s="2" t="e">
        <f t="shared" si="3"/>
        <v>#VALUE!</v>
      </c>
      <c r="C153" t="e">
        <f>FIND(" ",SUBSTITUTE($F$2, CHAR(10), " "),calc!B153)</f>
        <v>#VALUE!</v>
      </c>
      <c r="D153" t="e">
        <f>MID($F$2,calc!B153,calc!C153-calc!B153)</f>
        <v>#VALUE!</v>
      </c>
    </row>
    <row r="154" spans="1:4" ht="16.5" customHeight="1">
      <c r="A154" s="2" t="str">
        <f>IF(COUNTIF(D:D,database!D154), database!G154, "")</f>
        <v/>
      </c>
      <c r="B154" s="2" t="e">
        <f t="shared" si="3"/>
        <v>#VALUE!</v>
      </c>
      <c r="C154" t="e">
        <f>FIND(" ",SUBSTITUTE($F$2, CHAR(10), " "),calc!B154)</f>
        <v>#VALUE!</v>
      </c>
      <c r="D154" t="e">
        <f>MID($F$2,calc!B154,calc!C154-calc!B154)</f>
        <v>#VALUE!</v>
      </c>
    </row>
    <row r="155" spans="1:4" ht="16.5" customHeight="1">
      <c r="A155" s="2" t="str">
        <f>IF(COUNTIF(D:D,database!D155), database!G155, "")</f>
        <v/>
      </c>
      <c r="B155" s="2" t="e">
        <f t="shared" si="3"/>
        <v>#VALUE!</v>
      </c>
      <c r="C155" t="e">
        <f>FIND(" ",SUBSTITUTE($F$2, CHAR(10), " "),calc!B155)</f>
        <v>#VALUE!</v>
      </c>
      <c r="D155" t="e">
        <f>MID($F$2,calc!B155,calc!C155-calc!B155)</f>
        <v>#VALUE!</v>
      </c>
    </row>
    <row r="156" spans="1:4" ht="16.5" customHeight="1">
      <c r="A156" s="2" t="str">
        <f>IF(COUNTIF(D:D,database!D156), database!G156, "")</f>
        <v/>
      </c>
      <c r="B156" s="2" t="e">
        <f t="shared" si="3"/>
        <v>#VALUE!</v>
      </c>
      <c r="C156" t="e">
        <f>FIND(" ",SUBSTITUTE($F$2, CHAR(10), " "),calc!B156)</f>
        <v>#VALUE!</v>
      </c>
      <c r="D156" t="e">
        <f>MID($F$2,calc!B156,calc!C156-calc!B156)</f>
        <v>#VALUE!</v>
      </c>
    </row>
    <row r="157" spans="1:4" ht="16.5" customHeight="1">
      <c r="A157" s="2" t="str">
        <f>IF(COUNTIF(D:D,database!D157), database!G157, "")</f>
        <v/>
      </c>
      <c r="B157" s="2" t="e">
        <f t="shared" si="3"/>
        <v>#VALUE!</v>
      </c>
      <c r="C157" t="e">
        <f>FIND(" ",SUBSTITUTE($F$2, CHAR(10), " "),calc!B157)</f>
        <v>#VALUE!</v>
      </c>
      <c r="D157" t="e">
        <f>MID($F$2,calc!B157,calc!C157-calc!B157)</f>
        <v>#VALUE!</v>
      </c>
    </row>
    <row r="158" spans="1:4" ht="16.5" customHeight="1">
      <c r="A158" s="2" t="str">
        <f>IF(COUNTIF(D:D,database!D158), database!G158, "")</f>
        <v/>
      </c>
      <c r="B158" s="2" t="e">
        <f t="shared" si="3"/>
        <v>#VALUE!</v>
      </c>
      <c r="C158" t="e">
        <f>FIND(" ",SUBSTITUTE($F$2, CHAR(10), " "),calc!B158)</f>
        <v>#VALUE!</v>
      </c>
      <c r="D158" t="e">
        <f>MID($F$2,calc!B158,calc!C158-calc!B158)</f>
        <v>#VALUE!</v>
      </c>
    </row>
    <row r="159" spans="1:4" ht="16.5" customHeight="1">
      <c r="A159" s="2" t="str">
        <f>IF(COUNTIF(D:D,database!D159), database!G159, "")</f>
        <v/>
      </c>
      <c r="B159" s="2" t="e">
        <f t="shared" si="3"/>
        <v>#VALUE!</v>
      </c>
      <c r="C159" t="e">
        <f>FIND(" ",SUBSTITUTE($F$2, CHAR(10), " "),calc!B159)</f>
        <v>#VALUE!</v>
      </c>
      <c r="D159" t="e">
        <f>MID($F$2,calc!B159,calc!C159-calc!B159)</f>
        <v>#VALUE!</v>
      </c>
    </row>
    <row r="160" spans="1:4" ht="16.5" customHeight="1">
      <c r="A160" s="2" t="str">
        <f>IF(COUNTIF(D:D,database!D160), database!G160, "")</f>
        <v/>
      </c>
      <c r="B160" s="2" t="e">
        <f t="shared" si="3"/>
        <v>#VALUE!</v>
      </c>
      <c r="C160" t="e">
        <f>FIND(" ",SUBSTITUTE($F$2, CHAR(10), " "),calc!B160)</f>
        <v>#VALUE!</v>
      </c>
      <c r="D160" t="e">
        <f>MID($F$2,calc!B160,calc!C160-calc!B160)</f>
        <v>#VALUE!</v>
      </c>
    </row>
    <row r="161" spans="1:4" ht="16.5" customHeight="1">
      <c r="A161" s="2" t="str">
        <f>IF(COUNTIF(D:D,database!D161), database!G161, "")</f>
        <v/>
      </c>
      <c r="B161" s="2" t="e">
        <f t="shared" si="3"/>
        <v>#VALUE!</v>
      </c>
      <c r="C161" t="e">
        <f>FIND(" ",SUBSTITUTE($F$2, CHAR(10), " "),calc!B161)</f>
        <v>#VALUE!</v>
      </c>
      <c r="D161" t="e">
        <f>MID($F$2,calc!B161,calc!C161-calc!B161)</f>
        <v>#VALUE!</v>
      </c>
    </row>
    <row r="162" spans="1:4" ht="16.5" customHeight="1">
      <c r="A162" s="2" t="str">
        <f>IF(COUNTIF(D:D,database!D162), database!G162, "")</f>
        <v/>
      </c>
      <c r="B162" s="2" t="e">
        <f t="shared" si="3"/>
        <v>#VALUE!</v>
      </c>
      <c r="C162" t="e">
        <f>FIND(" ",SUBSTITUTE($F$2, CHAR(10), " "),calc!B162)</f>
        <v>#VALUE!</v>
      </c>
      <c r="D162" t="e">
        <f>MID($F$2,calc!B162,calc!C162-calc!B162)</f>
        <v>#VALUE!</v>
      </c>
    </row>
    <row r="163" spans="1:4" ht="16.5" customHeight="1">
      <c r="A163" s="2" t="str">
        <f>IF(COUNTIF(D:D,database!D163), database!G163, "")</f>
        <v/>
      </c>
      <c r="B163" s="2" t="e">
        <f t="shared" si="3"/>
        <v>#VALUE!</v>
      </c>
      <c r="C163" t="e">
        <f>FIND(" ",SUBSTITUTE($F$2, CHAR(10), " "),calc!B163)</f>
        <v>#VALUE!</v>
      </c>
      <c r="D163" t="e">
        <f>MID($F$2,calc!B163,calc!C163-calc!B163)</f>
        <v>#VALUE!</v>
      </c>
    </row>
    <row r="164" spans="1:4" ht="16.5" customHeight="1">
      <c r="A164" s="2" t="str">
        <f>IF(COUNTIF(D:D,database!D164), database!G164, "")</f>
        <v/>
      </c>
      <c r="B164" s="2" t="e">
        <f t="shared" si="3"/>
        <v>#VALUE!</v>
      </c>
      <c r="C164" t="e">
        <f>FIND(" ",SUBSTITUTE($F$2, CHAR(10), " "),calc!B164)</f>
        <v>#VALUE!</v>
      </c>
      <c r="D164" t="e">
        <f>MID($F$2,calc!B164,calc!C164-calc!B164)</f>
        <v>#VALUE!</v>
      </c>
    </row>
    <row r="165" spans="1:4" ht="16.5" customHeight="1">
      <c r="A165" s="2" t="str">
        <f>IF(COUNTIF(D:D,database!D165), database!G165, "")</f>
        <v/>
      </c>
      <c r="B165" s="2" t="e">
        <f t="shared" si="3"/>
        <v>#VALUE!</v>
      </c>
      <c r="C165" t="e">
        <f>FIND(" ",SUBSTITUTE($F$2, CHAR(10), " "),calc!B165)</f>
        <v>#VALUE!</v>
      </c>
      <c r="D165" t="e">
        <f>MID($F$2,calc!B165,calc!C165-calc!B165)</f>
        <v>#VALUE!</v>
      </c>
    </row>
    <row r="166" spans="1:4" ht="16.5" customHeight="1">
      <c r="A166" s="2" t="str">
        <f>IF(COUNTIF(D:D,database!D166), database!G166, "")</f>
        <v/>
      </c>
      <c r="B166" s="2" t="e">
        <f t="shared" si="3"/>
        <v>#VALUE!</v>
      </c>
      <c r="C166" t="e">
        <f>FIND(" ",SUBSTITUTE($F$2, CHAR(10), " "),calc!B166)</f>
        <v>#VALUE!</v>
      </c>
      <c r="D166" t="e">
        <f>MID($F$2,calc!B166,calc!C166-calc!B166)</f>
        <v>#VALUE!</v>
      </c>
    </row>
    <row r="167" spans="1:4" ht="16.5" customHeight="1">
      <c r="A167" s="2" t="str">
        <f>IF(COUNTIF(D:D,database!D167), database!G167, "")</f>
        <v/>
      </c>
      <c r="B167" s="2" t="e">
        <f t="shared" si="3"/>
        <v>#VALUE!</v>
      </c>
      <c r="C167" t="e">
        <f>FIND(" ",SUBSTITUTE($F$2, CHAR(10), " "),calc!B167)</f>
        <v>#VALUE!</v>
      </c>
      <c r="D167" t="e">
        <f>MID($F$2,calc!B167,calc!C167-calc!B167)</f>
        <v>#VALUE!</v>
      </c>
    </row>
    <row r="168" spans="1:4" ht="16.5" customHeight="1">
      <c r="A168" s="2" t="str">
        <f>IF(COUNTIF(D:D,database!D168), database!G168, "")</f>
        <v/>
      </c>
      <c r="B168" s="2" t="e">
        <f t="shared" si="3"/>
        <v>#VALUE!</v>
      </c>
      <c r="C168" t="e">
        <f>FIND(" ",SUBSTITUTE($F$2, CHAR(10), " "),calc!B168)</f>
        <v>#VALUE!</v>
      </c>
      <c r="D168" t="e">
        <f>MID($F$2,calc!B168,calc!C168-calc!B168)</f>
        <v>#VALUE!</v>
      </c>
    </row>
    <row r="169" spans="1:4" ht="16.5" customHeight="1">
      <c r="A169" s="2" t="str">
        <f>IF(COUNTIF(D:D,database!D169), database!G169, "")</f>
        <v/>
      </c>
      <c r="B169" s="2" t="e">
        <f t="shared" si="3"/>
        <v>#VALUE!</v>
      </c>
      <c r="C169" t="e">
        <f>FIND(" ",SUBSTITUTE($F$2, CHAR(10), " "),calc!B169)</f>
        <v>#VALUE!</v>
      </c>
      <c r="D169" t="e">
        <f>MID($F$2,calc!B169,calc!C169-calc!B169)</f>
        <v>#VALUE!</v>
      </c>
    </row>
    <row r="170" spans="1:4" ht="16.5" customHeight="1">
      <c r="A170" s="2" t="str">
        <f>IF(COUNTIF(D:D,database!D170), database!G170, "")</f>
        <v/>
      </c>
      <c r="B170" s="2" t="e">
        <f t="shared" si="3"/>
        <v>#VALUE!</v>
      </c>
      <c r="C170" t="e">
        <f>FIND(" ",SUBSTITUTE($F$2, CHAR(10), " "),calc!B170)</f>
        <v>#VALUE!</v>
      </c>
      <c r="D170" t="e">
        <f>MID($F$2,calc!B170,calc!C170-calc!B170)</f>
        <v>#VALUE!</v>
      </c>
    </row>
    <row r="171" spans="1:4" ht="16.5" customHeight="1">
      <c r="A171" s="2" t="str">
        <f>IF(COUNTIF(D:D,database!D171), database!G171, "")</f>
        <v/>
      </c>
      <c r="B171" s="2" t="e">
        <f t="shared" si="3"/>
        <v>#VALUE!</v>
      </c>
      <c r="C171" t="e">
        <f>FIND(" ",SUBSTITUTE($F$2, CHAR(10), " "),calc!B171)</f>
        <v>#VALUE!</v>
      </c>
      <c r="D171" t="e">
        <f>MID($F$2,calc!B171,calc!C171-calc!B171)</f>
        <v>#VALUE!</v>
      </c>
    </row>
    <row r="172" spans="1:4" ht="16.5" customHeight="1">
      <c r="A172" s="2" t="str">
        <f>IF(COUNTIF(D:D,database!D172), database!G172, "")</f>
        <v/>
      </c>
      <c r="B172" s="2" t="e">
        <f t="shared" si="3"/>
        <v>#VALUE!</v>
      </c>
      <c r="C172" t="e">
        <f>FIND(" ",SUBSTITUTE($F$2, CHAR(10), " "),calc!B172)</f>
        <v>#VALUE!</v>
      </c>
      <c r="D172" t="e">
        <f>MID($F$2,calc!B172,calc!C172-calc!B172)</f>
        <v>#VALUE!</v>
      </c>
    </row>
    <row r="173" spans="1:4" ht="16.5" customHeight="1">
      <c r="A173" s="2" t="str">
        <f>IF(COUNTIF(D:D,database!D173), database!G173, "")</f>
        <v/>
      </c>
      <c r="B173" s="2" t="e">
        <f t="shared" si="3"/>
        <v>#VALUE!</v>
      </c>
      <c r="C173" t="e">
        <f>FIND(" ",SUBSTITUTE($F$2, CHAR(10), " "),calc!B173)</f>
        <v>#VALUE!</v>
      </c>
      <c r="D173" t="e">
        <f>MID($F$2,calc!B173,calc!C173-calc!B173)</f>
        <v>#VALUE!</v>
      </c>
    </row>
    <row r="174" spans="1:4" ht="16.5" customHeight="1">
      <c r="A174" s="2" t="str">
        <f>IF(COUNTIF(D:D,database!D174), database!G174, "")</f>
        <v/>
      </c>
      <c r="B174" s="2" t="e">
        <f t="shared" si="3"/>
        <v>#VALUE!</v>
      </c>
      <c r="C174" t="e">
        <f>FIND(" ",SUBSTITUTE($F$2, CHAR(10), " "),calc!B174)</f>
        <v>#VALUE!</v>
      </c>
      <c r="D174" t="e">
        <f>MID($F$2,calc!B174,calc!C174-calc!B174)</f>
        <v>#VALUE!</v>
      </c>
    </row>
    <row r="175" spans="1:4" ht="16.5" customHeight="1">
      <c r="A175" s="2" t="str">
        <f>IF(COUNTIF(D:D,database!D175), database!G175, "")</f>
        <v/>
      </c>
      <c r="B175" s="2" t="e">
        <f t="shared" si="3"/>
        <v>#VALUE!</v>
      </c>
      <c r="C175" t="e">
        <f>FIND(" ",SUBSTITUTE($F$2, CHAR(10), " "),calc!B175)</f>
        <v>#VALUE!</v>
      </c>
      <c r="D175" t="e">
        <f>MID($F$2,calc!B175,calc!C175-calc!B175)</f>
        <v>#VALUE!</v>
      </c>
    </row>
    <row r="176" spans="1:4" ht="16.5" customHeight="1">
      <c r="A176" s="2" t="str">
        <f>IF(COUNTIF(D:D,database!D176), database!G176, "")</f>
        <v/>
      </c>
      <c r="B176" s="2" t="e">
        <f t="shared" si="3"/>
        <v>#VALUE!</v>
      </c>
      <c r="C176" t="e">
        <f>FIND(" ",SUBSTITUTE($F$2, CHAR(10), " "),calc!B176)</f>
        <v>#VALUE!</v>
      </c>
      <c r="D176" t="e">
        <f>MID($F$2,calc!B176,calc!C176-calc!B176)</f>
        <v>#VALUE!</v>
      </c>
    </row>
    <row r="177" spans="1:4" ht="16.5" customHeight="1">
      <c r="A177" s="2" t="str">
        <f>IF(COUNTIF(D:D,database!D177), database!G177, "")</f>
        <v/>
      </c>
      <c r="B177" s="2" t="e">
        <f t="shared" si="3"/>
        <v>#VALUE!</v>
      </c>
      <c r="C177" t="e">
        <f>FIND(" ",SUBSTITUTE($F$2, CHAR(10), " "),calc!B177)</f>
        <v>#VALUE!</v>
      </c>
      <c r="D177" t="e">
        <f>MID($F$2,calc!B177,calc!C177-calc!B177)</f>
        <v>#VALUE!</v>
      </c>
    </row>
    <row r="178" spans="1:4" ht="16.5" customHeight="1">
      <c r="A178" s="2" t="str">
        <f>IF(COUNTIF(D:D,database!D178), database!G178, "")</f>
        <v/>
      </c>
      <c r="B178" s="2" t="e">
        <f t="shared" si="3"/>
        <v>#VALUE!</v>
      </c>
      <c r="C178" t="e">
        <f>FIND(" ",SUBSTITUTE($F$2, CHAR(10), " "),calc!B178)</f>
        <v>#VALUE!</v>
      </c>
      <c r="D178" t="e">
        <f>MID($F$2,calc!B178,calc!C178-calc!B178)</f>
        <v>#VALUE!</v>
      </c>
    </row>
    <row r="179" spans="1:4" ht="16.5" customHeight="1">
      <c r="A179" s="2" t="str">
        <f>IF(COUNTIF(D:D,database!D179), database!G179, "")</f>
        <v/>
      </c>
      <c r="B179" s="2" t="e">
        <f t="shared" si="3"/>
        <v>#VALUE!</v>
      </c>
      <c r="C179" t="e">
        <f>FIND(" ",SUBSTITUTE($F$2, CHAR(10), " "),calc!B179)</f>
        <v>#VALUE!</v>
      </c>
      <c r="D179" t="e">
        <f>MID($F$2,calc!B179,calc!C179-calc!B179)</f>
        <v>#VALUE!</v>
      </c>
    </row>
    <row r="180" spans="1:4" ht="16.5" customHeight="1">
      <c r="A180" s="2" t="str">
        <f>IF(COUNTIF(D:D,database!D180), database!G180, "")</f>
        <v/>
      </c>
      <c r="B180" s="2" t="e">
        <f t="shared" si="3"/>
        <v>#VALUE!</v>
      </c>
      <c r="C180" t="e">
        <f>FIND(" ",SUBSTITUTE($F$2, CHAR(10), " "),calc!B180)</f>
        <v>#VALUE!</v>
      </c>
      <c r="D180" t="e">
        <f>MID($F$2,calc!B180,calc!C180-calc!B180)</f>
        <v>#VALUE!</v>
      </c>
    </row>
    <row r="181" spans="1:4" ht="16.5" customHeight="1">
      <c r="A181" s="2" t="str">
        <f>IF(COUNTIF(D:D,database!D181), database!G181, "")</f>
        <v/>
      </c>
      <c r="B181" s="2" t="e">
        <f t="shared" si="3"/>
        <v>#VALUE!</v>
      </c>
      <c r="C181" t="e">
        <f>FIND(" ",SUBSTITUTE($F$2, CHAR(10), " "),calc!B181)</f>
        <v>#VALUE!</v>
      </c>
      <c r="D181" t="e">
        <f>MID($F$2,calc!B181,calc!C181-calc!B181)</f>
        <v>#VALUE!</v>
      </c>
    </row>
    <row r="182" spans="1:4" ht="16.5" customHeight="1">
      <c r="A182" s="2" t="str">
        <f>IF(COUNTIF(D:D,database!D182), database!G182, "")</f>
        <v/>
      </c>
      <c r="B182" s="2" t="e">
        <f t="shared" si="3"/>
        <v>#VALUE!</v>
      </c>
      <c r="C182" t="e">
        <f>FIND(" ",SUBSTITUTE($F$2, CHAR(10), " "),calc!B182)</f>
        <v>#VALUE!</v>
      </c>
      <c r="D182" t="e">
        <f>MID($F$2,calc!B182,calc!C182-calc!B182)</f>
        <v>#VALUE!</v>
      </c>
    </row>
    <row r="183" spans="1:4" ht="16.5" customHeight="1">
      <c r="A183" s="2" t="str">
        <f>IF(COUNTIF(D:D,database!D183), database!G183, "")</f>
        <v/>
      </c>
      <c r="B183" s="2" t="e">
        <f t="shared" si="3"/>
        <v>#VALUE!</v>
      </c>
      <c r="C183" t="e">
        <f>FIND(" ",SUBSTITUTE($F$2, CHAR(10), " "),calc!B183)</f>
        <v>#VALUE!</v>
      </c>
      <c r="D183" t="e">
        <f>MID($F$2,calc!B183,calc!C183-calc!B183)</f>
        <v>#VALUE!</v>
      </c>
    </row>
    <row r="184" spans="1:4" ht="16.5" customHeight="1">
      <c r="A184" s="2" t="str">
        <f>IF(COUNTIF(D:D,database!D184), database!G184, "")</f>
        <v/>
      </c>
      <c r="B184" s="2" t="e">
        <f t="shared" si="3"/>
        <v>#VALUE!</v>
      </c>
      <c r="C184" t="e">
        <f>FIND(" ",SUBSTITUTE($F$2, CHAR(10), " "),calc!B184)</f>
        <v>#VALUE!</v>
      </c>
      <c r="D184" t="e">
        <f>MID($F$2,calc!B184,calc!C184-calc!B184)</f>
        <v>#VALUE!</v>
      </c>
    </row>
    <row r="185" spans="1:4" ht="16.5" customHeight="1">
      <c r="A185" s="2" t="str">
        <f>IF(COUNTIF(D:D,database!D185), database!G185, "")</f>
        <v/>
      </c>
      <c r="B185" s="2" t="e">
        <f t="shared" si="3"/>
        <v>#VALUE!</v>
      </c>
      <c r="C185" t="e">
        <f>FIND(" ",SUBSTITUTE($F$2, CHAR(10), " "),calc!B185)</f>
        <v>#VALUE!</v>
      </c>
      <c r="D185" t="e">
        <f>MID($F$2,calc!B185,calc!C185-calc!B185)</f>
        <v>#VALUE!</v>
      </c>
    </row>
    <row r="186" spans="1:4" ht="16.5" customHeight="1">
      <c r="A186" s="2" t="str">
        <f>IF(COUNTIF(D:D,database!D186), database!G186, "")</f>
        <v/>
      </c>
      <c r="B186" s="2" t="e">
        <f t="shared" si="3"/>
        <v>#VALUE!</v>
      </c>
      <c r="C186" t="e">
        <f>FIND(" ",SUBSTITUTE($F$2, CHAR(10), " "),calc!B186)</f>
        <v>#VALUE!</v>
      </c>
      <c r="D186" t="e">
        <f>MID($F$2,calc!B186,calc!C186-calc!B186)</f>
        <v>#VALUE!</v>
      </c>
    </row>
    <row r="187" spans="1:4" ht="16.5" customHeight="1">
      <c r="A187" s="2" t="str">
        <f>IF(COUNTIF(D:D,database!D187), database!G187, "")</f>
        <v/>
      </c>
      <c r="B187" s="2" t="e">
        <f t="shared" si="3"/>
        <v>#VALUE!</v>
      </c>
      <c r="C187" t="e">
        <f>FIND(" ",SUBSTITUTE($F$2, CHAR(10), " "),calc!B187)</f>
        <v>#VALUE!</v>
      </c>
      <c r="D187" t="e">
        <f>MID($F$2,calc!B187,calc!C187-calc!B187)</f>
        <v>#VALUE!</v>
      </c>
    </row>
    <row r="188" spans="1:4" ht="16.5" customHeight="1">
      <c r="A188" s="2" t="str">
        <f>IF(COUNTIF(D:D,database!D188), database!G188, "")</f>
        <v/>
      </c>
      <c r="B188" s="2" t="e">
        <f t="shared" si="3"/>
        <v>#VALUE!</v>
      </c>
      <c r="C188" t="e">
        <f>FIND(" ",SUBSTITUTE($F$2, CHAR(10), " "),calc!B188)</f>
        <v>#VALUE!</v>
      </c>
      <c r="D188" t="e">
        <f>MID($F$2,calc!B188,calc!C188-calc!B188)</f>
        <v>#VALUE!</v>
      </c>
    </row>
    <row r="189" spans="1:4" ht="16.5" customHeight="1">
      <c r="A189" s="2" t="str">
        <f>IF(COUNTIF(D:D,database!D189), database!G189, "")</f>
        <v/>
      </c>
      <c r="B189" s="2" t="e">
        <f t="shared" si="3"/>
        <v>#VALUE!</v>
      </c>
      <c r="C189" t="e">
        <f>FIND(" ",SUBSTITUTE($F$2, CHAR(10), " "),calc!B189)</f>
        <v>#VALUE!</v>
      </c>
      <c r="D189" t="e">
        <f>MID($F$2,calc!B189,calc!C189-calc!B189)</f>
        <v>#VALUE!</v>
      </c>
    </row>
    <row r="190" spans="1:4" ht="16.5" customHeight="1">
      <c r="A190" s="2" t="str">
        <f>IF(COUNTIF(D:D,database!D190), database!G190, "")</f>
        <v/>
      </c>
      <c r="B190" s="2" t="e">
        <f t="shared" si="3"/>
        <v>#VALUE!</v>
      </c>
      <c r="C190" t="e">
        <f>FIND(" ",SUBSTITUTE($F$2, CHAR(10), " "),calc!B190)</f>
        <v>#VALUE!</v>
      </c>
      <c r="D190" t="e">
        <f>MID($F$2,calc!B190,calc!C190-calc!B190)</f>
        <v>#VALUE!</v>
      </c>
    </row>
    <row r="191" spans="1:4" ht="16.5" customHeight="1">
      <c r="A191" s="2" t="str">
        <f>IF(COUNTIF(D:D,database!D191), database!G191, "")</f>
        <v/>
      </c>
      <c r="B191" s="2" t="e">
        <f t="shared" si="3"/>
        <v>#VALUE!</v>
      </c>
      <c r="C191" t="e">
        <f>FIND(" ",SUBSTITUTE($F$2, CHAR(10), " "),calc!B191)</f>
        <v>#VALUE!</v>
      </c>
      <c r="D191" t="e">
        <f>MID($F$2,calc!B191,calc!C191-calc!B191)</f>
        <v>#VALUE!</v>
      </c>
    </row>
    <row r="192" spans="1:4" ht="16.5" customHeight="1">
      <c r="A192" s="2" t="str">
        <f>IF(COUNTIF(D:D,database!D192), database!G192, "")</f>
        <v/>
      </c>
      <c r="B192" s="2" t="e">
        <f t="shared" si="3"/>
        <v>#VALUE!</v>
      </c>
      <c r="C192" t="e">
        <f>FIND(" ",SUBSTITUTE($F$2, CHAR(10), " "),calc!B192)</f>
        <v>#VALUE!</v>
      </c>
      <c r="D192" t="e">
        <f>MID($F$2,calc!B192,calc!C192-calc!B192)</f>
        <v>#VALUE!</v>
      </c>
    </row>
    <row r="193" spans="1:4" ht="16.5" customHeight="1">
      <c r="A193" s="2" t="str">
        <f>IF(COUNTIF(D:D,database!D193), database!G193, "")</f>
        <v/>
      </c>
      <c r="B193" s="2" t="e">
        <f t="shared" si="3"/>
        <v>#VALUE!</v>
      </c>
      <c r="C193" t="e">
        <f>FIND(" ",SUBSTITUTE($F$2, CHAR(10), " "),calc!B193)</f>
        <v>#VALUE!</v>
      </c>
      <c r="D193" t="e">
        <f>MID($F$2,calc!B193,calc!C193-calc!B193)</f>
        <v>#VALUE!</v>
      </c>
    </row>
    <row r="194" spans="1:4" ht="16.5" customHeight="1">
      <c r="A194" s="2" t="str">
        <f>IF(COUNTIF(D:D,database!D194), database!G194, "")</f>
        <v/>
      </c>
      <c r="B194" s="2" t="e">
        <f t="shared" si="3"/>
        <v>#VALUE!</v>
      </c>
      <c r="C194" t="e">
        <f>FIND(" ",SUBSTITUTE($F$2, CHAR(10), " "),calc!B194)</f>
        <v>#VALUE!</v>
      </c>
      <c r="D194" t="e">
        <f>MID($F$2,calc!B194,calc!C194-calc!B194)</f>
        <v>#VALUE!</v>
      </c>
    </row>
    <row r="195" spans="1:4" ht="16.5" customHeight="1">
      <c r="A195" s="2" t="str">
        <f>IF(COUNTIF(D:D,database!D195), database!G195, "")</f>
        <v/>
      </c>
      <c r="B195" s="2" t="e">
        <f t="shared" ref="B195:B258" si="4">FIND("#", $F$2, B194 +1)</f>
        <v>#VALUE!</v>
      </c>
      <c r="C195" t="e">
        <f>FIND(" ",SUBSTITUTE($F$2, CHAR(10), " "),calc!B195)</f>
        <v>#VALUE!</v>
      </c>
      <c r="D195" t="e">
        <f>MID($F$2,calc!B195,calc!C195-calc!B195)</f>
        <v>#VALUE!</v>
      </c>
    </row>
    <row r="196" spans="1:4" ht="16.5" customHeight="1">
      <c r="A196" s="2" t="str">
        <f>IF(COUNTIF(D:D,database!D196), database!G196, "")</f>
        <v/>
      </c>
      <c r="B196" s="2" t="e">
        <f t="shared" si="4"/>
        <v>#VALUE!</v>
      </c>
      <c r="C196" t="e">
        <f>FIND(" ",SUBSTITUTE($F$2, CHAR(10), " "),calc!B196)</f>
        <v>#VALUE!</v>
      </c>
      <c r="D196" t="e">
        <f>MID($F$2,calc!B196,calc!C196-calc!B196)</f>
        <v>#VALUE!</v>
      </c>
    </row>
    <row r="197" spans="1:4" ht="16.5" customHeight="1">
      <c r="A197" s="2" t="str">
        <f>IF(COUNTIF(D:D,database!D197), database!G197, "")</f>
        <v/>
      </c>
      <c r="B197" s="2" t="e">
        <f t="shared" si="4"/>
        <v>#VALUE!</v>
      </c>
      <c r="C197" t="e">
        <f>FIND(" ",SUBSTITUTE($F$2, CHAR(10), " "),calc!B197)</f>
        <v>#VALUE!</v>
      </c>
      <c r="D197" t="e">
        <f>MID($F$2,calc!B197,calc!C197-calc!B197)</f>
        <v>#VALUE!</v>
      </c>
    </row>
    <row r="198" spans="1:4" ht="16.5" customHeight="1">
      <c r="A198" s="2" t="str">
        <f>IF(COUNTIF(D:D,database!D198), database!G198, "")</f>
        <v/>
      </c>
      <c r="B198" s="2" t="e">
        <f t="shared" si="4"/>
        <v>#VALUE!</v>
      </c>
      <c r="C198" t="e">
        <f>FIND(" ",SUBSTITUTE($F$2, CHAR(10), " "),calc!B198)</f>
        <v>#VALUE!</v>
      </c>
      <c r="D198" t="e">
        <f>MID($F$2,calc!B198,calc!C198-calc!B198)</f>
        <v>#VALUE!</v>
      </c>
    </row>
    <row r="199" spans="1:4" ht="16.5" customHeight="1">
      <c r="A199" s="2" t="str">
        <f>IF(COUNTIF(D:D,database!D199), database!G199, "")</f>
        <v/>
      </c>
      <c r="B199" s="2" t="e">
        <f t="shared" si="4"/>
        <v>#VALUE!</v>
      </c>
      <c r="C199" t="e">
        <f>FIND(" ",SUBSTITUTE($F$2, CHAR(10), " "),calc!B199)</f>
        <v>#VALUE!</v>
      </c>
      <c r="D199" t="e">
        <f>MID($F$2,calc!B199,calc!C199-calc!B199)</f>
        <v>#VALUE!</v>
      </c>
    </row>
    <row r="200" spans="1:4" ht="16.5" customHeight="1">
      <c r="A200" s="2" t="str">
        <f>IF(COUNTIF(D:D,database!D200), database!G200, "")</f>
        <v/>
      </c>
      <c r="B200" s="2" t="e">
        <f t="shared" si="4"/>
        <v>#VALUE!</v>
      </c>
      <c r="C200" t="e">
        <f>FIND(" ",SUBSTITUTE($F$2, CHAR(10), " "),calc!B200)</f>
        <v>#VALUE!</v>
      </c>
      <c r="D200" t="e">
        <f>MID($F$2,calc!B200,calc!C200-calc!B200)</f>
        <v>#VALUE!</v>
      </c>
    </row>
    <row r="201" spans="1:4" ht="16.5" customHeight="1">
      <c r="A201" s="2" t="str">
        <f>IF(COUNTIF(D:D,database!D201), database!G201, "")</f>
        <v/>
      </c>
      <c r="B201" s="2" t="e">
        <f t="shared" si="4"/>
        <v>#VALUE!</v>
      </c>
      <c r="C201" t="e">
        <f>FIND(" ",SUBSTITUTE($F$2, CHAR(10), " "),calc!B201)</f>
        <v>#VALUE!</v>
      </c>
      <c r="D201" t="e">
        <f>MID($F$2,calc!B201,calc!C201-calc!B201)</f>
        <v>#VALUE!</v>
      </c>
    </row>
    <row r="202" spans="1:4" ht="16.5" customHeight="1">
      <c r="A202" s="2" t="str">
        <f>IF(COUNTIF(D:D,database!D202), database!G202, "")</f>
        <v/>
      </c>
      <c r="B202" s="2" t="e">
        <f t="shared" si="4"/>
        <v>#VALUE!</v>
      </c>
      <c r="C202" t="e">
        <f>FIND(" ",SUBSTITUTE($F$2, CHAR(10), " "),calc!B202)</f>
        <v>#VALUE!</v>
      </c>
      <c r="D202" t="e">
        <f>MID($F$2,calc!B202,calc!C202-calc!B202)</f>
        <v>#VALUE!</v>
      </c>
    </row>
    <row r="203" spans="1:4" ht="16.5" customHeight="1">
      <c r="A203" s="2" t="str">
        <f>IF(COUNTIF(D:D,database!D203), database!G203, "")</f>
        <v/>
      </c>
      <c r="B203" s="2" t="e">
        <f t="shared" si="4"/>
        <v>#VALUE!</v>
      </c>
      <c r="C203" t="e">
        <f>FIND(" ",SUBSTITUTE($F$2, CHAR(10), " "),calc!B203)</f>
        <v>#VALUE!</v>
      </c>
      <c r="D203" t="e">
        <f>MID($F$2,calc!B203,calc!C203-calc!B203)</f>
        <v>#VALUE!</v>
      </c>
    </row>
    <row r="204" spans="1:4" ht="16.5" customHeight="1">
      <c r="A204" s="2" t="str">
        <f>IF(COUNTIF(D:D,database!D204), database!G204, "")</f>
        <v/>
      </c>
      <c r="B204" s="2" t="e">
        <f t="shared" si="4"/>
        <v>#VALUE!</v>
      </c>
      <c r="C204" t="e">
        <f>FIND(" ",SUBSTITUTE($F$2, CHAR(10), " "),calc!B204)</f>
        <v>#VALUE!</v>
      </c>
      <c r="D204" t="e">
        <f>MID($F$2,calc!B204,calc!C204-calc!B204)</f>
        <v>#VALUE!</v>
      </c>
    </row>
    <row r="205" spans="1:4" ht="16.5" customHeight="1">
      <c r="A205" s="2" t="str">
        <f>IF(COUNTIF(D:D,database!D205), database!G205, "")</f>
        <v/>
      </c>
      <c r="B205" s="2" t="e">
        <f t="shared" si="4"/>
        <v>#VALUE!</v>
      </c>
      <c r="C205" t="e">
        <f>FIND(" ",SUBSTITUTE($F$2, CHAR(10), " "),calc!B205)</f>
        <v>#VALUE!</v>
      </c>
      <c r="D205" t="e">
        <f>MID($F$2,calc!B205,calc!C205-calc!B205)</f>
        <v>#VALUE!</v>
      </c>
    </row>
    <row r="206" spans="1:4" ht="16.5" customHeight="1">
      <c r="A206" s="2" t="str">
        <f>IF(COUNTIF(D:D,database!D206), database!G206, "")</f>
        <v/>
      </c>
      <c r="B206" s="2" t="e">
        <f t="shared" si="4"/>
        <v>#VALUE!</v>
      </c>
      <c r="C206" t="e">
        <f>FIND(" ",SUBSTITUTE($F$2, CHAR(10), " "),calc!B206)</f>
        <v>#VALUE!</v>
      </c>
      <c r="D206" t="e">
        <f>MID($F$2,calc!B206,calc!C206-calc!B206)</f>
        <v>#VALUE!</v>
      </c>
    </row>
    <row r="207" spans="1:4" ht="16.5" customHeight="1">
      <c r="B207" s="2" t="e">
        <f t="shared" si="4"/>
        <v>#VALUE!</v>
      </c>
      <c r="C207" t="e">
        <f>FIND(" ",SUBSTITUTE($F$2, CHAR(10), " "),calc!B207)</f>
        <v>#VALUE!</v>
      </c>
      <c r="D207" t="e">
        <f>MID($F$2,calc!B207,calc!C207-calc!B207)</f>
        <v>#VALUE!</v>
      </c>
    </row>
    <row r="208" spans="1:4" ht="16.5" customHeight="1">
      <c r="B208" s="2" t="e">
        <f t="shared" si="4"/>
        <v>#VALUE!</v>
      </c>
      <c r="C208" t="e">
        <f>FIND(" ",SUBSTITUTE($F$2, CHAR(10), " "),calc!B208)</f>
        <v>#VALUE!</v>
      </c>
      <c r="D208" t="e">
        <f>MID($F$2,calc!B208,calc!C208-calc!B208)</f>
        <v>#VALUE!</v>
      </c>
    </row>
    <row r="209" spans="2:4" ht="16.5" customHeight="1">
      <c r="B209" s="2" t="e">
        <f t="shared" si="4"/>
        <v>#VALUE!</v>
      </c>
      <c r="C209" t="e">
        <f>FIND(" ",SUBSTITUTE($F$2, CHAR(10), " "),calc!B209)</f>
        <v>#VALUE!</v>
      </c>
      <c r="D209" t="e">
        <f>MID($F$2,calc!B209,calc!C209-calc!B209)</f>
        <v>#VALUE!</v>
      </c>
    </row>
    <row r="210" spans="2:4" ht="16.5" customHeight="1">
      <c r="B210" s="2" t="e">
        <f t="shared" si="4"/>
        <v>#VALUE!</v>
      </c>
      <c r="C210" t="e">
        <f>FIND(" ",SUBSTITUTE($F$2, CHAR(10), " "),calc!B210)</f>
        <v>#VALUE!</v>
      </c>
      <c r="D210" t="e">
        <f>MID($F$2,calc!B210,calc!C210-calc!B210)</f>
        <v>#VALUE!</v>
      </c>
    </row>
    <row r="211" spans="2:4" ht="16.5" customHeight="1">
      <c r="B211" s="2" t="e">
        <f t="shared" si="4"/>
        <v>#VALUE!</v>
      </c>
      <c r="C211" t="e">
        <f>FIND(" ",SUBSTITUTE($F$2, CHAR(10), " "),calc!B211)</f>
        <v>#VALUE!</v>
      </c>
      <c r="D211" t="e">
        <f>MID($F$2,calc!B211,calc!C211-calc!B211)</f>
        <v>#VALUE!</v>
      </c>
    </row>
    <row r="212" spans="2:4" ht="16.5" customHeight="1">
      <c r="B212" s="2" t="e">
        <f t="shared" si="4"/>
        <v>#VALUE!</v>
      </c>
      <c r="C212" t="e">
        <f>FIND(" ",SUBSTITUTE($F$2, CHAR(10), " "),calc!B212)</f>
        <v>#VALUE!</v>
      </c>
      <c r="D212" t="e">
        <f>MID($F$2,calc!B212,calc!C212-calc!B212)</f>
        <v>#VALUE!</v>
      </c>
    </row>
    <row r="213" spans="2:4" ht="16.5" customHeight="1">
      <c r="B213" s="2" t="e">
        <f t="shared" si="4"/>
        <v>#VALUE!</v>
      </c>
      <c r="C213" t="e">
        <f>FIND(" ",SUBSTITUTE($F$2, CHAR(10), " "),calc!B213)</f>
        <v>#VALUE!</v>
      </c>
      <c r="D213" t="e">
        <f>MID($F$2,calc!B213,calc!C213-calc!B213)</f>
        <v>#VALUE!</v>
      </c>
    </row>
    <row r="214" spans="2:4" ht="16.5" customHeight="1">
      <c r="B214" s="2" t="e">
        <f t="shared" si="4"/>
        <v>#VALUE!</v>
      </c>
      <c r="C214" t="e">
        <f>FIND(" ",SUBSTITUTE($F$2, CHAR(10), " "),calc!B214)</f>
        <v>#VALUE!</v>
      </c>
      <c r="D214" t="e">
        <f>MID($F$2,calc!B214,calc!C214-calc!B214)</f>
        <v>#VALUE!</v>
      </c>
    </row>
    <row r="215" spans="2:4" ht="16.5" customHeight="1">
      <c r="B215" s="2" t="e">
        <f t="shared" si="4"/>
        <v>#VALUE!</v>
      </c>
      <c r="C215" t="e">
        <f>FIND(" ",SUBSTITUTE($F$2, CHAR(10), " "),calc!B215)</f>
        <v>#VALUE!</v>
      </c>
      <c r="D215" t="e">
        <f>MID($F$2,calc!B215,calc!C215-calc!B215)</f>
        <v>#VALUE!</v>
      </c>
    </row>
    <row r="216" spans="2:4" ht="16.5" customHeight="1">
      <c r="B216" s="2" t="e">
        <f t="shared" si="4"/>
        <v>#VALUE!</v>
      </c>
      <c r="C216" t="e">
        <f>FIND(" ",SUBSTITUTE($F$2, CHAR(10), " "),calc!B216)</f>
        <v>#VALUE!</v>
      </c>
      <c r="D216" t="e">
        <f>MID($F$2,calc!B216,calc!C216-calc!B216)</f>
        <v>#VALUE!</v>
      </c>
    </row>
    <row r="217" spans="2:4" ht="16.5" customHeight="1">
      <c r="B217" s="2" t="e">
        <f t="shared" si="4"/>
        <v>#VALUE!</v>
      </c>
      <c r="C217" t="e">
        <f>FIND(" ",SUBSTITUTE($F$2, CHAR(10), " "),calc!B217)</f>
        <v>#VALUE!</v>
      </c>
      <c r="D217" t="e">
        <f>MID($F$2,calc!B217,calc!C217-calc!B217)</f>
        <v>#VALUE!</v>
      </c>
    </row>
    <row r="218" spans="2:4" ht="16.5" customHeight="1">
      <c r="B218" s="2" t="e">
        <f t="shared" si="4"/>
        <v>#VALUE!</v>
      </c>
      <c r="C218" t="e">
        <f>FIND(" ",SUBSTITUTE($F$2, CHAR(10), " "),calc!B218)</f>
        <v>#VALUE!</v>
      </c>
      <c r="D218" t="e">
        <f>MID($F$2,calc!B218,calc!C218-calc!B218)</f>
        <v>#VALUE!</v>
      </c>
    </row>
    <row r="219" spans="2:4" ht="16.5" customHeight="1">
      <c r="B219" s="2" t="e">
        <f t="shared" si="4"/>
        <v>#VALUE!</v>
      </c>
      <c r="C219" t="e">
        <f>FIND(" ",SUBSTITUTE($F$2, CHAR(10), " "),calc!B219)</f>
        <v>#VALUE!</v>
      </c>
      <c r="D219" t="e">
        <f>MID($F$2,calc!B219,calc!C219-calc!B219)</f>
        <v>#VALUE!</v>
      </c>
    </row>
    <row r="220" spans="2:4" ht="16.5" customHeight="1">
      <c r="B220" s="2" t="e">
        <f t="shared" si="4"/>
        <v>#VALUE!</v>
      </c>
      <c r="C220" t="e">
        <f>FIND(" ",SUBSTITUTE($F$2, CHAR(10), " "),calc!B220)</f>
        <v>#VALUE!</v>
      </c>
      <c r="D220" t="e">
        <f>MID($F$2,calc!B220,calc!C220-calc!B220)</f>
        <v>#VALUE!</v>
      </c>
    </row>
    <row r="221" spans="2:4" ht="16.5" customHeight="1">
      <c r="B221" s="2" t="e">
        <f t="shared" si="4"/>
        <v>#VALUE!</v>
      </c>
      <c r="C221" t="e">
        <f>FIND(" ",SUBSTITUTE($F$2, CHAR(10), " "),calc!B221)</f>
        <v>#VALUE!</v>
      </c>
      <c r="D221" t="e">
        <f>MID($F$2,calc!B221,calc!C221-calc!B221)</f>
        <v>#VALUE!</v>
      </c>
    </row>
    <row r="222" spans="2:4" ht="16.5" customHeight="1">
      <c r="B222" s="2" t="e">
        <f t="shared" si="4"/>
        <v>#VALUE!</v>
      </c>
      <c r="C222" t="e">
        <f>FIND(" ",SUBSTITUTE($F$2, CHAR(10), " "),calc!B222)</f>
        <v>#VALUE!</v>
      </c>
      <c r="D222" t="e">
        <f>MID($F$2,calc!B222,calc!C222-calc!B222)</f>
        <v>#VALUE!</v>
      </c>
    </row>
    <row r="223" spans="2:4" ht="16.5" customHeight="1">
      <c r="B223" s="2" t="e">
        <f t="shared" si="4"/>
        <v>#VALUE!</v>
      </c>
      <c r="C223" t="e">
        <f>FIND(" ",SUBSTITUTE($F$2, CHAR(10), " "),calc!B223)</f>
        <v>#VALUE!</v>
      </c>
      <c r="D223" t="e">
        <f>MID($F$2,calc!B223,calc!C223-calc!B223)</f>
        <v>#VALUE!</v>
      </c>
    </row>
    <row r="224" spans="2:4" ht="16.5" customHeight="1">
      <c r="B224" s="2" t="e">
        <f t="shared" si="4"/>
        <v>#VALUE!</v>
      </c>
      <c r="C224" t="e">
        <f>FIND(" ",SUBSTITUTE($F$2, CHAR(10), " "),calc!B224)</f>
        <v>#VALUE!</v>
      </c>
      <c r="D224" t="e">
        <f>MID($F$2,calc!B224,calc!C224-calc!B224)</f>
        <v>#VALUE!</v>
      </c>
    </row>
    <row r="225" spans="2:4" ht="16.5" customHeight="1">
      <c r="B225" s="2" t="e">
        <f t="shared" si="4"/>
        <v>#VALUE!</v>
      </c>
      <c r="C225" t="e">
        <f>FIND(" ",SUBSTITUTE($F$2, CHAR(10), " "),calc!B225)</f>
        <v>#VALUE!</v>
      </c>
      <c r="D225" t="e">
        <f>MID($F$2,calc!B225,calc!C225-calc!B225)</f>
        <v>#VALUE!</v>
      </c>
    </row>
    <row r="226" spans="2:4" ht="16.5" customHeight="1">
      <c r="B226" s="2" t="e">
        <f t="shared" si="4"/>
        <v>#VALUE!</v>
      </c>
      <c r="C226" t="e">
        <f>FIND(" ",SUBSTITUTE($F$2, CHAR(10), " "),calc!B226)</f>
        <v>#VALUE!</v>
      </c>
      <c r="D226" t="e">
        <f>MID($F$2,calc!B226,calc!C226-calc!B226)</f>
        <v>#VALUE!</v>
      </c>
    </row>
    <row r="227" spans="2:4" ht="16.5" customHeight="1">
      <c r="B227" s="2" t="e">
        <f t="shared" si="4"/>
        <v>#VALUE!</v>
      </c>
      <c r="C227" t="e">
        <f>FIND(" ",SUBSTITUTE($F$2, CHAR(10), " "),calc!B227)</f>
        <v>#VALUE!</v>
      </c>
      <c r="D227" t="e">
        <f>MID($F$2,calc!B227,calc!C227-calc!B227)</f>
        <v>#VALUE!</v>
      </c>
    </row>
    <row r="228" spans="2:4" ht="16.5" customHeight="1">
      <c r="B228" s="2" t="e">
        <f t="shared" si="4"/>
        <v>#VALUE!</v>
      </c>
      <c r="C228" t="e">
        <f>FIND(" ",SUBSTITUTE($F$2, CHAR(10), " "),calc!B228)</f>
        <v>#VALUE!</v>
      </c>
      <c r="D228" t="e">
        <f>MID($F$2,calc!B228,calc!C228-calc!B228)</f>
        <v>#VALUE!</v>
      </c>
    </row>
    <row r="229" spans="2:4" ht="16.5" customHeight="1">
      <c r="B229" s="2" t="e">
        <f t="shared" si="4"/>
        <v>#VALUE!</v>
      </c>
      <c r="C229" t="e">
        <f>FIND(" ",SUBSTITUTE($F$2, CHAR(10), " "),calc!B229)</f>
        <v>#VALUE!</v>
      </c>
      <c r="D229" t="e">
        <f>MID($F$2,calc!B229,calc!C229-calc!B229)</f>
        <v>#VALUE!</v>
      </c>
    </row>
    <row r="230" spans="2:4" ht="16.5" customHeight="1">
      <c r="B230" s="2" t="e">
        <f t="shared" si="4"/>
        <v>#VALUE!</v>
      </c>
      <c r="C230" t="e">
        <f>FIND(" ",SUBSTITUTE($F$2, CHAR(10), " "),calc!B230)</f>
        <v>#VALUE!</v>
      </c>
      <c r="D230" t="e">
        <f>MID($F$2,calc!B230,calc!C230-calc!B230)</f>
        <v>#VALUE!</v>
      </c>
    </row>
    <row r="231" spans="2:4" ht="16.5" customHeight="1">
      <c r="B231" s="2" t="e">
        <f t="shared" si="4"/>
        <v>#VALUE!</v>
      </c>
      <c r="C231" t="e">
        <f>FIND(" ",SUBSTITUTE($F$2, CHAR(10), " "),calc!B231)</f>
        <v>#VALUE!</v>
      </c>
      <c r="D231" t="e">
        <f>MID($F$2,calc!B231,calc!C231-calc!B231)</f>
        <v>#VALUE!</v>
      </c>
    </row>
    <row r="232" spans="2:4" ht="16.5" customHeight="1">
      <c r="B232" s="2" t="e">
        <f t="shared" si="4"/>
        <v>#VALUE!</v>
      </c>
      <c r="C232" t="e">
        <f>FIND(" ",SUBSTITUTE($F$2, CHAR(10), " "),calc!B232)</f>
        <v>#VALUE!</v>
      </c>
      <c r="D232" t="e">
        <f>MID($F$2,calc!B232,calc!C232-calc!B232)</f>
        <v>#VALUE!</v>
      </c>
    </row>
    <row r="233" spans="2:4" ht="16.5" customHeight="1">
      <c r="B233" s="2" t="e">
        <f t="shared" si="4"/>
        <v>#VALUE!</v>
      </c>
      <c r="C233" t="e">
        <f>FIND(" ",SUBSTITUTE($F$2, CHAR(10), " "),calc!B233)</f>
        <v>#VALUE!</v>
      </c>
      <c r="D233" t="e">
        <f>MID($F$2,calc!B233,calc!C233-calc!B233)</f>
        <v>#VALUE!</v>
      </c>
    </row>
    <row r="234" spans="2:4" ht="16.5" customHeight="1">
      <c r="B234" s="2" t="e">
        <f t="shared" si="4"/>
        <v>#VALUE!</v>
      </c>
      <c r="C234" t="e">
        <f>FIND(" ",SUBSTITUTE($F$2, CHAR(10), " "),calc!B234)</f>
        <v>#VALUE!</v>
      </c>
      <c r="D234" t="e">
        <f>MID($F$2,calc!B234,calc!C234-calc!B234)</f>
        <v>#VALUE!</v>
      </c>
    </row>
    <row r="235" spans="2:4" ht="16.5" customHeight="1">
      <c r="B235" s="2" t="e">
        <f t="shared" si="4"/>
        <v>#VALUE!</v>
      </c>
      <c r="C235" t="e">
        <f>FIND(" ",SUBSTITUTE($F$2, CHAR(10), " "),calc!B235)</f>
        <v>#VALUE!</v>
      </c>
      <c r="D235" t="e">
        <f>MID($F$2,calc!B235,calc!C235-calc!B235)</f>
        <v>#VALUE!</v>
      </c>
    </row>
    <row r="236" spans="2:4" ht="16.5" customHeight="1">
      <c r="B236" s="2" t="e">
        <f t="shared" si="4"/>
        <v>#VALUE!</v>
      </c>
      <c r="C236" t="e">
        <f>FIND(" ",SUBSTITUTE($F$2, CHAR(10), " "),calc!B236)</f>
        <v>#VALUE!</v>
      </c>
      <c r="D236" t="e">
        <f>MID($F$2,calc!B236,calc!C236-calc!B236)</f>
        <v>#VALUE!</v>
      </c>
    </row>
    <row r="237" spans="2:4" ht="16.5" customHeight="1">
      <c r="B237" s="2" t="e">
        <f t="shared" si="4"/>
        <v>#VALUE!</v>
      </c>
      <c r="C237" t="e">
        <f>FIND(" ",SUBSTITUTE($F$2, CHAR(10), " "),calc!B237)</f>
        <v>#VALUE!</v>
      </c>
      <c r="D237" t="e">
        <f>MID($F$2,calc!B237,calc!C237-calc!B237)</f>
        <v>#VALUE!</v>
      </c>
    </row>
    <row r="238" spans="2:4" ht="16.5" customHeight="1">
      <c r="B238" s="2" t="e">
        <f t="shared" si="4"/>
        <v>#VALUE!</v>
      </c>
      <c r="C238" t="e">
        <f>FIND(" ",SUBSTITUTE($F$2, CHAR(10), " "),calc!B238)</f>
        <v>#VALUE!</v>
      </c>
      <c r="D238" t="e">
        <f>MID($F$2,calc!B238,calc!C238-calc!B238)</f>
        <v>#VALUE!</v>
      </c>
    </row>
    <row r="239" spans="2:4" ht="16.5" customHeight="1">
      <c r="B239" s="2" t="e">
        <f t="shared" si="4"/>
        <v>#VALUE!</v>
      </c>
      <c r="C239" t="e">
        <f>FIND(" ",SUBSTITUTE($F$2, CHAR(10), " "),calc!B239)</f>
        <v>#VALUE!</v>
      </c>
      <c r="D239" t="e">
        <f>MID($F$2,calc!B239,calc!C239-calc!B239)</f>
        <v>#VALUE!</v>
      </c>
    </row>
    <row r="240" spans="2:4" ht="16.5" customHeight="1">
      <c r="B240" s="2" t="e">
        <f t="shared" si="4"/>
        <v>#VALUE!</v>
      </c>
      <c r="C240" t="e">
        <f>FIND(" ",SUBSTITUTE($F$2, CHAR(10), " "),calc!B240)</f>
        <v>#VALUE!</v>
      </c>
      <c r="D240" t="e">
        <f>MID($F$2,calc!B240,calc!C240-calc!B240)</f>
        <v>#VALUE!</v>
      </c>
    </row>
    <row r="241" spans="2:4" ht="16.5" customHeight="1">
      <c r="B241" s="2" t="e">
        <f t="shared" si="4"/>
        <v>#VALUE!</v>
      </c>
      <c r="C241" t="e">
        <f>FIND(" ",SUBSTITUTE($F$2, CHAR(10), " "),calc!B241)</f>
        <v>#VALUE!</v>
      </c>
      <c r="D241" t="e">
        <f>MID($F$2,calc!B241,calc!C241-calc!B241)</f>
        <v>#VALUE!</v>
      </c>
    </row>
    <row r="242" spans="2:4" ht="16.5" customHeight="1">
      <c r="B242" s="2" t="e">
        <f t="shared" si="4"/>
        <v>#VALUE!</v>
      </c>
      <c r="C242" t="e">
        <f>FIND(" ",SUBSTITUTE($F$2, CHAR(10), " "),calc!B242)</f>
        <v>#VALUE!</v>
      </c>
      <c r="D242" t="e">
        <f>MID($F$2,calc!B242,calc!C242-calc!B242)</f>
        <v>#VALUE!</v>
      </c>
    </row>
    <row r="243" spans="2:4" ht="16.5" customHeight="1">
      <c r="B243" s="2" t="e">
        <f t="shared" si="4"/>
        <v>#VALUE!</v>
      </c>
      <c r="C243" t="e">
        <f>FIND(" ",SUBSTITUTE($F$2, CHAR(10), " "),calc!B243)</f>
        <v>#VALUE!</v>
      </c>
      <c r="D243" t="e">
        <f>MID($F$2,calc!B243,calc!C243-calc!B243)</f>
        <v>#VALUE!</v>
      </c>
    </row>
    <row r="244" spans="2:4" ht="16.5" customHeight="1">
      <c r="B244" s="2" t="e">
        <f t="shared" si="4"/>
        <v>#VALUE!</v>
      </c>
      <c r="C244" t="e">
        <f>FIND(" ",SUBSTITUTE($F$2, CHAR(10), " "),calc!B244)</f>
        <v>#VALUE!</v>
      </c>
      <c r="D244" t="e">
        <f>MID($F$2,calc!B244,calc!C244-calc!B244)</f>
        <v>#VALUE!</v>
      </c>
    </row>
    <row r="245" spans="2:4" ht="16.5" customHeight="1">
      <c r="B245" s="2" t="e">
        <f t="shared" si="4"/>
        <v>#VALUE!</v>
      </c>
      <c r="C245" t="e">
        <f>FIND(" ",SUBSTITUTE($F$2, CHAR(10), " "),calc!B245)</f>
        <v>#VALUE!</v>
      </c>
      <c r="D245" t="e">
        <f>MID($F$2,calc!B245,calc!C245-calc!B245)</f>
        <v>#VALUE!</v>
      </c>
    </row>
    <row r="246" spans="2:4" ht="16.5" customHeight="1">
      <c r="B246" s="2" t="e">
        <f t="shared" si="4"/>
        <v>#VALUE!</v>
      </c>
      <c r="C246" t="e">
        <f>FIND(" ",SUBSTITUTE($F$2, CHAR(10), " "),calc!B246)</f>
        <v>#VALUE!</v>
      </c>
      <c r="D246" t="e">
        <f>MID($F$2,calc!B246,calc!C246-calc!B246)</f>
        <v>#VALUE!</v>
      </c>
    </row>
    <row r="247" spans="2:4" ht="16.5" customHeight="1">
      <c r="B247" s="2" t="e">
        <f t="shared" si="4"/>
        <v>#VALUE!</v>
      </c>
      <c r="C247" t="e">
        <f>FIND(" ",SUBSTITUTE($F$2, CHAR(10), " "),calc!B247)</f>
        <v>#VALUE!</v>
      </c>
      <c r="D247" t="e">
        <f>MID($F$2,calc!B247,calc!C247-calc!B247)</f>
        <v>#VALUE!</v>
      </c>
    </row>
    <row r="248" spans="2:4" ht="16.5" customHeight="1">
      <c r="B248" s="2" t="e">
        <f t="shared" si="4"/>
        <v>#VALUE!</v>
      </c>
      <c r="C248" t="e">
        <f>FIND(" ",SUBSTITUTE($F$2, CHAR(10), " "),calc!B248)</f>
        <v>#VALUE!</v>
      </c>
      <c r="D248" t="e">
        <f>MID($F$2,calc!B248,calc!C248-calc!B248)</f>
        <v>#VALUE!</v>
      </c>
    </row>
    <row r="249" spans="2:4" ht="16.5" customHeight="1">
      <c r="B249" s="2" t="e">
        <f t="shared" si="4"/>
        <v>#VALUE!</v>
      </c>
      <c r="C249" t="e">
        <f>FIND(" ",SUBSTITUTE($F$2, CHAR(10), " "),calc!B249)</f>
        <v>#VALUE!</v>
      </c>
      <c r="D249" t="e">
        <f>MID($F$2,calc!B249,calc!C249-calc!B249)</f>
        <v>#VALUE!</v>
      </c>
    </row>
    <row r="250" spans="2:4" ht="16.5" customHeight="1">
      <c r="B250" s="2" t="e">
        <f t="shared" si="4"/>
        <v>#VALUE!</v>
      </c>
      <c r="C250" t="e">
        <f>FIND(" ",SUBSTITUTE($F$2, CHAR(10), " "),calc!B250)</f>
        <v>#VALUE!</v>
      </c>
      <c r="D250" t="e">
        <f>MID($F$2,calc!B250,calc!C250-calc!B250)</f>
        <v>#VALUE!</v>
      </c>
    </row>
    <row r="251" spans="2:4" ht="16.5" customHeight="1">
      <c r="B251" s="2" t="e">
        <f t="shared" si="4"/>
        <v>#VALUE!</v>
      </c>
      <c r="C251" t="e">
        <f>FIND(" ",SUBSTITUTE($F$2, CHAR(10), " "),calc!B251)</f>
        <v>#VALUE!</v>
      </c>
      <c r="D251" t="e">
        <f>MID($F$2,calc!B251,calc!C251-calc!B251)</f>
        <v>#VALUE!</v>
      </c>
    </row>
    <row r="252" spans="2:4" ht="16.5" customHeight="1">
      <c r="B252" s="2" t="e">
        <f t="shared" si="4"/>
        <v>#VALUE!</v>
      </c>
      <c r="C252" t="e">
        <f>FIND(" ",SUBSTITUTE($F$2, CHAR(10), " "),calc!B252)</f>
        <v>#VALUE!</v>
      </c>
      <c r="D252" t="e">
        <f>MID($F$2,calc!B252,calc!C252-calc!B252)</f>
        <v>#VALUE!</v>
      </c>
    </row>
    <row r="253" spans="2:4" ht="16.5" customHeight="1">
      <c r="B253" s="2" t="e">
        <f t="shared" si="4"/>
        <v>#VALUE!</v>
      </c>
      <c r="C253" t="e">
        <f>FIND(" ",SUBSTITUTE($F$2, CHAR(10), " "),calc!B253)</f>
        <v>#VALUE!</v>
      </c>
      <c r="D253" t="e">
        <f>MID($F$2,calc!B253,calc!C253-calc!B253)</f>
        <v>#VALUE!</v>
      </c>
    </row>
    <row r="254" spans="2:4" ht="16.5" customHeight="1">
      <c r="B254" s="2" t="e">
        <f t="shared" si="4"/>
        <v>#VALUE!</v>
      </c>
      <c r="C254" t="e">
        <f>FIND(" ",SUBSTITUTE($F$2, CHAR(10), " "),calc!B254)</f>
        <v>#VALUE!</v>
      </c>
      <c r="D254" t="e">
        <f>MID($F$2,calc!B254,calc!C254-calc!B254)</f>
        <v>#VALUE!</v>
      </c>
    </row>
    <row r="255" spans="2:4" ht="16.5" customHeight="1">
      <c r="B255" s="2" t="e">
        <f t="shared" si="4"/>
        <v>#VALUE!</v>
      </c>
      <c r="C255" t="e">
        <f>FIND(" ",SUBSTITUTE($F$2, CHAR(10), " "),calc!B255)</f>
        <v>#VALUE!</v>
      </c>
      <c r="D255" t="e">
        <f>MID($F$2,calc!B255,calc!C255-calc!B255)</f>
        <v>#VALUE!</v>
      </c>
    </row>
    <row r="256" spans="2:4" ht="16.5" customHeight="1">
      <c r="B256" s="2" t="e">
        <f t="shared" si="4"/>
        <v>#VALUE!</v>
      </c>
      <c r="C256" t="e">
        <f>FIND(" ",SUBSTITUTE($F$2, CHAR(10), " "),calc!B256)</f>
        <v>#VALUE!</v>
      </c>
      <c r="D256" t="e">
        <f>MID($F$2,calc!B256,calc!C256-calc!B256)</f>
        <v>#VALUE!</v>
      </c>
    </row>
    <row r="257" spans="2:4" ht="16.5" customHeight="1">
      <c r="B257" s="2" t="e">
        <f t="shared" si="4"/>
        <v>#VALUE!</v>
      </c>
      <c r="C257" t="e">
        <f>FIND(" ",SUBSTITUTE($F$2, CHAR(10), " "),calc!B257)</f>
        <v>#VALUE!</v>
      </c>
      <c r="D257" t="e">
        <f>MID($F$2,calc!B257,calc!C257-calc!B257)</f>
        <v>#VALUE!</v>
      </c>
    </row>
    <row r="258" spans="2:4" ht="16.5" customHeight="1">
      <c r="B258" s="2" t="e">
        <f t="shared" si="4"/>
        <v>#VALUE!</v>
      </c>
      <c r="C258" t="e">
        <f>FIND(" ",SUBSTITUTE($F$2, CHAR(10), " "),calc!B258)</f>
        <v>#VALUE!</v>
      </c>
      <c r="D258" t="e">
        <f>MID($F$2,calc!B258,calc!C258-calc!B258)</f>
        <v>#VALUE!</v>
      </c>
    </row>
    <row r="259" spans="2:4" ht="16.5" customHeight="1">
      <c r="B259" s="2" t="e">
        <f t="shared" ref="B259:B322" si="5">FIND("#", $F$2, B258 +1)</f>
        <v>#VALUE!</v>
      </c>
      <c r="C259" t="e">
        <f>FIND(" ",SUBSTITUTE($F$2, CHAR(10), " "),calc!B259)</f>
        <v>#VALUE!</v>
      </c>
      <c r="D259" t="e">
        <f>MID($F$2,calc!B259,calc!C259-calc!B259)</f>
        <v>#VALUE!</v>
      </c>
    </row>
    <row r="260" spans="2:4" ht="16.5" customHeight="1">
      <c r="B260" s="2" t="e">
        <f t="shared" si="5"/>
        <v>#VALUE!</v>
      </c>
      <c r="C260" t="e">
        <f>FIND(" ",SUBSTITUTE($F$2, CHAR(10), " "),calc!B260)</f>
        <v>#VALUE!</v>
      </c>
      <c r="D260" t="e">
        <f>MID($F$2,calc!B260,calc!C260-calc!B260)</f>
        <v>#VALUE!</v>
      </c>
    </row>
    <row r="261" spans="2:4" ht="16.5" customHeight="1">
      <c r="B261" s="2" t="e">
        <f t="shared" si="5"/>
        <v>#VALUE!</v>
      </c>
      <c r="C261" t="e">
        <f>FIND(" ",SUBSTITUTE($F$2, CHAR(10), " "),calc!B261)</f>
        <v>#VALUE!</v>
      </c>
      <c r="D261" t="e">
        <f>MID($F$2,calc!B261,calc!C261-calc!B261)</f>
        <v>#VALUE!</v>
      </c>
    </row>
    <row r="262" spans="2:4" ht="16.5" customHeight="1">
      <c r="B262" s="2" t="e">
        <f t="shared" si="5"/>
        <v>#VALUE!</v>
      </c>
      <c r="C262" t="e">
        <f>FIND(" ",SUBSTITUTE($F$2, CHAR(10), " "),calc!B262)</f>
        <v>#VALUE!</v>
      </c>
      <c r="D262" t="e">
        <f>MID($F$2,calc!B262,calc!C262-calc!B262)</f>
        <v>#VALUE!</v>
      </c>
    </row>
    <row r="263" spans="2:4" ht="16.5" customHeight="1">
      <c r="B263" s="2" t="e">
        <f t="shared" si="5"/>
        <v>#VALUE!</v>
      </c>
      <c r="C263" t="e">
        <f>FIND(" ",SUBSTITUTE($F$2, CHAR(10), " "),calc!B263)</f>
        <v>#VALUE!</v>
      </c>
      <c r="D263" t="e">
        <f>MID($F$2,calc!B263,calc!C263-calc!B263)</f>
        <v>#VALUE!</v>
      </c>
    </row>
    <row r="264" spans="2:4" ht="16.5" customHeight="1">
      <c r="B264" s="2" t="e">
        <f t="shared" si="5"/>
        <v>#VALUE!</v>
      </c>
      <c r="C264" t="e">
        <f>FIND(" ",SUBSTITUTE($F$2, CHAR(10), " "),calc!B264)</f>
        <v>#VALUE!</v>
      </c>
      <c r="D264" t="e">
        <f>MID($F$2,calc!B264,calc!C264-calc!B264)</f>
        <v>#VALUE!</v>
      </c>
    </row>
    <row r="265" spans="2:4" ht="16.5" customHeight="1">
      <c r="B265" s="2" t="e">
        <f t="shared" si="5"/>
        <v>#VALUE!</v>
      </c>
      <c r="C265" t="e">
        <f>FIND(" ",SUBSTITUTE($F$2, CHAR(10), " "),calc!B265)</f>
        <v>#VALUE!</v>
      </c>
      <c r="D265" t="e">
        <f>MID($F$2,calc!B265,calc!C265-calc!B265)</f>
        <v>#VALUE!</v>
      </c>
    </row>
    <row r="266" spans="2:4" ht="16.5" customHeight="1">
      <c r="B266" s="2" t="e">
        <f t="shared" si="5"/>
        <v>#VALUE!</v>
      </c>
      <c r="C266" t="e">
        <f>FIND(" ",SUBSTITUTE($F$2, CHAR(10), " "),calc!B266)</f>
        <v>#VALUE!</v>
      </c>
      <c r="D266" t="e">
        <f>MID($F$2,calc!B266,calc!C266-calc!B266)</f>
        <v>#VALUE!</v>
      </c>
    </row>
    <row r="267" spans="2:4" ht="16.5" customHeight="1">
      <c r="B267" s="2" t="e">
        <f t="shared" si="5"/>
        <v>#VALUE!</v>
      </c>
      <c r="C267" t="e">
        <f>FIND(" ",SUBSTITUTE($F$2, CHAR(10), " "),calc!B267)</f>
        <v>#VALUE!</v>
      </c>
      <c r="D267" t="e">
        <f>MID($F$2,calc!B267,calc!C267-calc!B267)</f>
        <v>#VALUE!</v>
      </c>
    </row>
    <row r="268" spans="2:4" ht="16.5" customHeight="1">
      <c r="B268" s="2" t="e">
        <f t="shared" si="5"/>
        <v>#VALUE!</v>
      </c>
      <c r="C268" t="e">
        <f>FIND(" ",SUBSTITUTE($F$2, CHAR(10), " "),calc!B268)</f>
        <v>#VALUE!</v>
      </c>
      <c r="D268" t="e">
        <f>MID($F$2,calc!B268,calc!C268-calc!B268)</f>
        <v>#VALUE!</v>
      </c>
    </row>
    <row r="269" spans="2:4" ht="16.5" customHeight="1">
      <c r="B269" s="2" t="e">
        <f t="shared" si="5"/>
        <v>#VALUE!</v>
      </c>
      <c r="C269" t="e">
        <f>FIND(" ",SUBSTITUTE($F$2, CHAR(10), " "),calc!B269)</f>
        <v>#VALUE!</v>
      </c>
      <c r="D269" t="e">
        <f>MID($F$2,calc!B269,calc!C269-calc!B269)</f>
        <v>#VALUE!</v>
      </c>
    </row>
    <row r="270" spans="2:4" ht="16.5" customHeight="1">
      <c r="B270" s="2" t="e">
        <f t="shared" si="5"/>
        <v>#VALUE!</v>
      </c>
      <c r="C270" t="e">
        <f>FIND(" ",SUBSTITUTE($F$2, CHAR(10), " "),calc!B270)</f>
        <v>#VALUE!</v>
      </c>
      <c r="D270" t="e">
        <f>MID($F$2,calc!B270,calc!C270-calc!B270)</f>
        <v>#VALUE!</v>
      </c>
    </row>
    <row r="271" spans="2:4" ht="16.5" customHeight="1">
      <c r="B271" s="2" t="e">
        <f t="shared" si="5"/>
        <v>#VALUE!</v>
      </c>
      <c r="C271" t="e">
        <f>FIND(" ",SUBSTITUTE($F$2, CHAR(10), " "),calc!B271)</f>
        <v>#VALUE!</v>
      </c>
      <c r="D271" t="e">
        <f>MID($F$2,calc!B271,calc!C271-calc!B271)</f>
        <v>#VALUE!</v>
      </c>
    </row>
    <row r="272" spans="2:4" ht="16.5" customHeight="1">
      <c r="B272" s="2" t="e">
        <f t="shared" si="5"/>
        <v>#VALUE!</v>
      </c>
      <c r="C272" t="e">
        <f>FIND(" ",SUBSTITUTE($F$2, CHAR(10), " "),calc!B272)</f>
        <v>#VALUE!</v>
      </c>
      <c r="D272" t="e">
        <f>MID($F$2,calc!B272,calc!C272-calc!B272)</f>
        <v>#VALUE!</v>
      </c>
    </row>
    <row r="273" spans="2:4" ht="16.5" customHeight="1">
      <c r="B273" s="2" t="e">
        <f t="shared" si="5"/>
        <v>#VALUE!</v>
      </c>
      <c r="C273" t="e">
        <f>FIND(" ",SUBSTITUTE($F$2, CHAR(10), " "),calc!B273)</f>
        <v>#VALUE!</v>
      </c>
      <c r="D273" t="e">
        <f>MID($F$2,calc!B273,calc!C273-calc!B273)</f>
        <v>#VALUE!</v>
      </c>
    </row>
    <row r="274" spans="2:4" ht="16.5" customHeight="1">
      <c r="B274" s="2" t="e">
        <f t="shared" si="5"/>
        <v>#VALUE!</v>
      </c>
      <c r="C274" t="e">
        <f>FIND(" ",SUBSTITUTE($F$2, CHAR(10), " "),calc!B274)</f>
        <v>#VALUE!</v>
      </c>
      <c r="D274" t="e">
        <f>MID($F$2,calc!B274,calc!C274-calc!B274)</f>
        <v>#VALUE!</v>
      </c>
    </row>
    <row r="275" spans="2:4" ht="16.5" customHeight="1">
      <c r="B275" s="2" t="e">
        <f t="shared" si="5"/>
        <v>#VALUE!</v>
      </c>
      <c r="C275" t="e">
        <f>FIND(" ",SUBSTITUTE($F$2, CHAR(10), " "),calc!B275)</f>
        <v>#VALUE!</v>
      </c>
      <c r="D275" t="e">
        <f>MID($F$2,calc!B275,calc!C275-calc!B275)</f>
        <v>#VALUE!</v>
      </c>
    </row>
    <row r="276" spans="2:4" ht="16.5" customHeight="1">
      <c r="B276" s="2" t="e">
        <f t="shared" si="5"/>
        <v>#VALUE!</v>
      </c>
      <c r="C276" t="e">
        <f>FIND(" ",SUBSTITUTE($F$2, CHAR(10), " "),calc!B276)</f>
        <v>#VALUE!</v>
      </c>
      <c r="D276" t="e">
        <f>MID($F$2,calc!B276,calc!C276-calc!B276)</f>
        <v>#VALUE!</v>
      </c>
    </row>
    <row r="277" spans="2:4" ht="16.5" customHeight="1">
      <c r="B277" s="2" t="e">
        <f t="shared" si="5"/>
        <v>#VALUE!</v>
      </c>
      <c r="C277" t="e">
        <f>FIND(" ",SUBSTITUTE($F$2, CHAR(10), " "),calc!B277)</f>
        <v>#VALUE!</v>
      </c>
      <c r="D277" t="e">
        <f>MID($F$2,calc!B277,calc!C277-calc!B277)</f>
        <v>#VALUE!</v>
      </c>
    </row>
    <row r="278" spans="2:4" ht="16.5" customHeight="1">
      <c r="B278" s="2" t="e">
        <f t="shared" si="5"/>
        <v>#VALUE!</v>
      </c>
      <c r="C278" t="e">
        <f>FIND(" ",SUBSTITUTE($F$2, CHAR(10), " "),calc!B278)</f>
        <v>#VALUE!</v>
      </c>
      <c r="D278" t="e">
        <f>MID($F$2,calc!B278,calc!C278-calc!B278)</f>
        <v>#VALUE!</v>
      </c>
    </row>
    <row r="279" spans="2:4" ht="16.5" customHeight="1">
      <c r="B279" s="2" t="e">
        <f t="shared" si="5"/>
        <v>#VALUE!</v>
      </c>
      <c r="C279" t="e">
        <f>FIND(" ",SUBSTITUTE($F$2, CHAR(10), " "),calc!B279)</f>
        <v>#VALUE!</v>
      </c>
      <c r="D279" t="e">
        <f>MID($F$2,calc!B279,calc!C279-calc!B279)</f>
        <v>#VALUE!</v>
      </c>
    </row>
    <row r="280" spans="2:4" ht="16.5" customHeight="1">
      <c r="B280" s="2" t="e">
        <f t="shared" si="5"/>
        <v>#VALUE!</v>
      </c>
      <c r="C280" t="e">
        <f>FIND(" ",SUBSTITUTE($F$2, CHAR(10), " "),calc!B280)</f>
        <v>#VALUE!</v>
      </c>
      <c r="D280" t="e">
        <f>MID($F$2,calc!B280,calc!C280-calc!B280)</f>
        <v>#VALUE!</v>
      </c>
    </row>
    <row r="281" spans="2:4" ht="16.5" customHeight="1">
      <c r="B281" s="2" t="e">
        <f t="shared" si="5"/>
        <v>#VALUE!</v>
      </c>
      <c r="C281" t="e">
        <f>FIND(" ",SUBSTITUTE($F$2, CHAR(10), " "),calc!B281)</f>
        <v>#VALUE!</v>
      </c>
      <c r="D281" t="e">
        <f>MID($F$2,calc!B281,calc!C281-calc!B281)</f>
        <v>#VALUE!</v>
      </c>
    </row>
    <row r="282" spans="2:4" ht="16.5" customHeight="1">
      <c r="B282" s="2" t="e">
        <f t="shared" si="5"/>
        <v>#VALUE!</v>
      </c>
      <c r="C282" t="e">
        <f>FIND(" ",SUBSTITUTE($F$2, CHAR(10), " "),calc!B282)</f>
        <v>#VALUE!</v>
      </c>
      <c r="D282" t="e">
        <f>MID($F$2,calc!B282,calc!C282-calc!B282)</f>
        <v>#VALUE!</v>
      </c>
    </row>
    <row r="283" spans="2:4" ht="16.5" customHeight="1">
      <c r="B283" s="2" t="e">
        <f t="shared" si="5"/>
        <v>#VALUE!</v>
      </c>
      <c r="C283" t="e">
        <f>FIND(" ",SUBSTITUTE($F$2, CHAR(10), " "),calc!B283)</f>
        <v>#VALUE!</v>
      </c>
      <c r="D283" t="e">
        <f>MID($F$2,calc!B283,calc!C283-calc!B283)</f>
        <v>#VALUE!</v>
      </c>
    </row>
    <row r="284" spans="2:4" ht="16.5" customHeight="1">
      <c r="B284" s="2" t="e">
        <f t="shared" si="5"/>
        <v>#VALUE!</v>
      </c>
      <c r="C284" t="e">
        <f>FIND(" ",SUBSTITUTE($F$2, CHAR(10), " "),calc!B284)</f>
        <v>#VALUE!</v>
      </c>
      <c r="D284" t="e">
        <f>MID($F$2,calc!B284,calc!C284-calc!B284)</f>
        <v>#VALUE!</v>
      </c>
    </row>
    <row r="285" spans="2:4" ht="16.5" customHeight="1">
      <c r="B285" s="2" t="e">
        <f t="shared" si="5"/>
        <v>#VALUE!</v>
      </c>
      <c r="C285" t="e">
        <f>FIND(" ",SUBSTITUTE($F$2, CHAR(10), " "),calc!B285)</f>
        <v>#VALUE!</v>
      </c>
      <c r="D285" t="e">
        <f>MID($F$2,calc!B285,calc!C285-calc!B285)</f>
        <v>#VALUE!</v>
      </c>
    </row>
    <row r="286" spans="2:4" ht="16.5" customHeight="1">
      <c r="B286" s="2" t="e">
        <f t="shared" si="5"/>
        <v>#VALUE!</v>
      </c>
      <c r="C286" t="e">
        <f>FIND(" ",SUBSTITUTE($F$2, CHAR(10), " "),calc!B286)</f>
        <v>#VALUE!</v>
      </c>
      <c r="D286" t="e">
        <f>MID($F$2,calc!B286,calc!C286-calc!B286)</f>
        <v>#VALUE!</v>
      </c>
    </row>
    <row r="287" spans="2:4" ht="16.5" customHeight="1">
      <c r="B287" s="2" t="e">
        <f t="shared" si="5"/>
        <v>#VALUE!</v>
      </c>
      <c r="C287" t="e">
        <f>FIND(" ",SUBSTITUTE($F$2, CHAR(10), " "),calc!B287)</f>
        <v>#VALUE!</v>
      </c>
      <c r="D287" t="e">
        <f>MID($F$2,calc!B287,calc!C287-calc!B287)</f>
        <v>#VALUE!</v>
      </c>
    </row>
    <row r="288" spans="2:4" ht="16.5" customHeight="1">
      <c r="B288" s="2" t="e">
        <f t="shared" si="5"/>
        <v>#VALUE!</v>
      </c>
      <c r="C288" t="e">
        <f>FIND(" ",SUBSTITUTE($F$2, CHAR(10), " "),calc!B288)</f>
        <v>#VALUE!</v>
      </c>
      <c r="D288" t="e">
        <f>MID($F$2,calc!B288,calc!C288-calc!B288)</f>
        <v>#VALUE!</v>
      </c>
    </row>
    <row r="289" spans="2:4" ht="16.5" customHeight="1">
      <c r="B289" s="2" t="e">
        <f t="shared" si="5"/>
        <v>#VALUE!</v>
      </c>
      <c r="C289" t="e">
        <f>FIND(" ",SUBSTITUTE($F$2, CHAR(10), " "),calc!B289)</f>
        <v>#VALUE!</v>
      </c>
      <c r="D289" t="e">
        <f>MID($F$2,calc!B289,calc!C289-calc!B289)</f>
        <v>#VALUE!</v>
      </c>
    </row>
    <row r="290" spans="2:4" ht="16.5" customHeight="1">
      <c r="B290" s="2" t="e">
        <f t="shared" si="5"/>
        <v>#VALUE!</v>
      </c>
      <c r="C290" t="e">
        <f>FIND(" ",SUBSTITUTE($F$2, CHAR(10), " "),calc!B290)</f>
        <v>#VALUE!</v>
      </c>
      <c r="D290" t="e">
        <f>MID($F$2,calc!B290,calc!C290-calc!B290)</f>
        <v>#VALUE!</v>
      </c>
    </row>
    <row r="291" spans="2:4" ht="16.5" customHeight="1">
      <c r="B291" s="2" t="e">
        <f t="shared" si="5"/>
        <v>#VALUE!</v>
      </c>
      <c r="C291" t="e">
        <f>FIND(" ",SUBSTITUTE($F$2, CHAR(10), " "),calc!B291)</f>
        <v>#VALUE!</v>
      </c>
      <c r="D291" t="e">
        <f>MID($F$2,calc!B291,calc!C291-calc!B291)</f>
        <v>#VALUE!</v>
      </c>
    </row>
    <row r="292" spans="2:4" ht="16.5" customHeight="1">
      <c r="B292" s="2" t="e">
        <f t="shared" si="5"/>
        <v>#VALUE!</v>
      </c>
      <c r="C292" t="e">
        <f>FIND(" ",SUBSTITUTE($F$2, CHAR(10), " "),calc!B292)</f>
        <v>#VALUE!</v>
      </c>
      <c r="D292" t="e">
        <f>MID($F$2,calc!B292,calc!C292-calc!B292)</f>
        <v>#VALUE!</v>
      </c>
    </row>
    <row r="293" spans="2:4" ht="16.5" customHeight="1">
      <c r="B293" s="2" t="e">
        <f t="shared" si="5"/>
        <v>#VALUE!</v>
      </c>
      <c r="C293" t="e">
        <f>FIND(" ",SUBSTITUTE($F$2, CHAR(10), " "),calc!B293)</f>
        <v>#VALUE!</v>
      </c>
      <c r="D293" t="e">
        <f>MID($F$2,calc!B293,calc!C293-calc!B293)</f>
        <v>#VALUE!</v>
      </c>
    </row>
    <row r="294" spans="2:4" ht="16.5" customHeight="1">
      <c r="B294" s="2" t="e">
        <f t="shared" si="5"/>
        <v>#VALUE!</v>
      </c>
      <c r="C294" t="e">
        <f>FIND(" ",SUBSTITUTE($F$2, CHAR(10), " "),calc!B294)</f>
        <v>#VALUE!</v>
      </c>
      <c r="D294" t="e">
        <f>MID($F$2,calc!B294,calc!C294-calc!B294)</f>
        <v>#VALUE!</v>
      </c>
    </row>
    <row r="295" spans="2:4" ht="16.5" customHeight="1">
      <c r="B295" s="2" t="e">
        <f t="shared" si="5"/>
        <v>#VALUE!</v>
      </c>
      <c r="C295" t="e">
        <f>FIND(" ",SUBSTITUTE($F$2, CHAR(10), " "),calc!B295)</f>
        <v>#VALUE!</v>
      </c>
      <c r="D295" t="e">
        <f>MID($F$2,calc!B295,calc!C295-calc!B295)</f>
        <v>#VALUE!</v>
      </c>
    </row>
    <row r="296" spans="2:4" ht="16.5" customHeight="1">
      <c r="B296" s="2" t="e">
        <f t="shared" si="5"/>
        <v>#VALUE!</v>
      </c>
      <c r="C296" t="e">
        <f>FIND(" ",SUBSTITUTE($F$2, CHAR(10), " "),calc!B296)</f>
        <v>#VALUE!</v>
      </c>
      <c r="D296" t="e">
        <f>MID($F$2,calc!B296,calc!C296-calc!B296)</f>
        <v>#VALUE!</v>
      </c>
    </row>
    <row r="297" spans="2:4" ht="16.5" customHeight="1">
      <c r="B297" s="2" t="e">
        <f t="shared" si="5"/>
        <v>#VALUE!</v>
      </c>
      <c r="C297" t="e">
        <f>FIND(" ",SUBSTITUTE($F$2, CHAR(10), " "),calc!B297)</f>
        <v>#VALUE!</v>
      </c>
      <c r="D297" t="e">
        <f>MID($F$2,calc!B297,calc!C297-calc!B297)</f>
        <v>#VALUE!</v>
      </c>
    </row>
    <row r="298" spans="2:4" ht="16.5" customHeight="1">
      <c r="B298" s="2" t="e">
        <f t="shared" si="5"/>
        <v>#VALUE!</v>
      </c>
      <c r="C298" t="e">
        <f>FIND(" ",SUBSTITUTE($F$2, CHAR(10), " "),calc!B298)</f>
        <v>#VALUE!</v>
      </c>
      <c r="D298" t="e">
        <f>MID($F$2,calc!B298,calc!C298-calc!B298)</f>
        <v>#VALUE!</v>
      </c>
    </row>
    <row r="299" spans="2:4" ht="16.5" customHeight="1">
      <c r="B299" s="2" t="e">
        <f t="shared" si="5"/>
        <v>#VALUE!</v>
      </c>
      <c r="C299" t="e">
        <f>FIND(" ",SUBSTITUTE($F$2, CHAR(10), " "),calc!B299)</f>
        <v>#VALUE!</v>
      </c>
      <c r="D299" t="e">
        <f>MID($F$2,calc!B299,calc!C299-calc!B299)</f>
        <v>#VALUE!</v>
      </c>
    </row>
    <row r="300" spans="2:4" ht="16.5" customHeight="1">
      <c r="B300" s="2" t="e">
        <f t="shared" si="5"/>
        <v>#VALUE!</v>
      </c>
      <c r="C300" t="e">
        <f>FIND(" ",SUBSTITUTE($F$2, CHAR(10), " "),calc!B300)</f>
        <v>#VALUE!</v>
      </c>
      <c r="D300" t="e">
        <f>MID($F$2,calc!B300,calc!C300-calc!B300)</f>
        <v>#VALUE!</v>
      </c>
    </row>
    <row r="301" spans="2:4" ht="16.5" customHeight="1">
      <c r="B301" s="2" t="e">
        <f t="shared" si="5"/>
        <v>#VALUE!</v>
      </c>
      <c r="C301" t="e">
        <f>FIND(" ",SUBSTITUTE($F$2, CHAR(10), " "),calc!B301)</f>
        <v>#VALUE!</v>
      </c>
      <c r="D301" t="e">
        <f>MID($F$2,calc!B301,calc!C301-calc!B301)</f>
        <v>#VALUE!</v>
      </c>
    </row>
    <row r="302" spans="2:4" ht="16.5" customHeight="1">
      <c r="B302" s="2" t="e">
        <f t="shared" si="5"/>
        <v>#VALUE!</v>
      </c>
      <c r="C302" t="e">
        <f>FIND(" ",SUBSTITUTE($F$2, CHAR(10), " "),calc!B302)</f>
        <v>#VALUE!</v>
      </c>
      <c r="D302" t="e">
        <f>MID($F$2,calc!B302,calc!C302-calc!B302)</f>
        <v>#VALUE!</v>
      </c>
    </row>
    <row r="303" spans="2:4" ht="16.5" customHeight="1">
      <c r="B303" s="2" t="e">
        <f t="shared" si="5"/>
        <v>#VALUE!</v>
      </c>
      <c r="C303" t="e">
        <f>FIND(" ",SUBSTITUTE($F$2, CHAR(10), " "),calc!B303)</f>
        <v>#VALUE!</v>
      </c>
      <c r="D303" t="e">
        <f>MID($F$2,calc!B303,calc!C303-calc!B303)</f>
        <v>#VALUE!</v>
      </c>
    </row>
    <row r="304" spans="2:4" ht="16.5" customHeight="1">
      <c r="B304" s="2" t="e">
        <f t="shared" si="5"/>
        <v>#VALUE!</v>
      </c>
      <c r="C304" t="e">
        <f>FIND(" ",SUBSTITUTE($F$2, CHAR(10), " "),calc!B304)</f>
        <v>#VALUE!</v>
      </c>
      <c r="D304" t="e">
        <f>MID($F$2,calc!B304,calc!C304-calc!B304)</f>
        <v>#VALUE!</v>
      </c>
    </row>
    <row r="305" spans="2:4" ht="16.5" customHeight="1">
      <c r="B305" s="2" t="e">
        <f t="shared" si="5"/>
        <v>#VALUE!</v>
      </c>
      <c r="C305" t="e">
        <f>FIND(" ",SUBSTITUTE($F$2, CHAR(10), " "),calc!B305)</f>
        <v>#VALUE!</v>
      </c>
      <c r="D305" t="e">
        <f>MID($F$2,calc!B305,calc!C305-calc!B305)</f>
        <v>#VALUE!</v>
      </c>
    </row>
    <row r="306" spans="2:4" ht="16.5" customHeight="1">
      <c r="B306" s="2" t="e">
        <f t="shared" si="5"/>
        <v>#VALUE!</v>
      </c>
      <c r="C306" t="e">
        <f>FIND(" ",SUBSTITUTE($F$2, CHAR(10), " "),calc!B306)</f>
        <v>#VALUE!</v>
      </c>
      <c r="D306" t="e">
        <f>MID($F$2,calc!B306,calc!C306-calc!B306)</f>
        <v>#VALUE!</v>
      </c>
    </row>
    <row r="307" spans="2:4" ht="16.5" customHeight="1">
      <c r="B307" s="2" t="e">
        <f t="shared" si="5"/>
        <v>#VALUE!</v>
      </c>
      <c r="C307" t="e">
        <f>FIND(" ",SUBSTITUTE($F$2, CHAR(10), " "),calc!B307)</f>
        <v>#VALUE!</v>
      </c>
      <c r="D307" t="e">
        <f>MID($F$2,calc!B307,calc!C307-calc!B307)</f>
        <v>#VALUE!</v>
      </c>
    </row>
    <row r="308" spans="2:4" ht="16.5" customHeight="1">
      <c r="B308" s="2" t="e">
        <f t="shared" si="5"/>
        <v>#VALUE!</v>
      </c>
      <c r="C308" t="e">
        <f>FIND(" ",SUBSTITUTE($F$2, CHAR(10), " "),calc!B308)</f>
        <v>#VALUE!</v>
      </c>
      <c r="D308" t="e">
        <f>MID($F$2,calc!B308,calc!C308-calc!B308)</f>
        <v>#VALUE!</v>
      </c>
    </row>
    <row r="309" spans="2:4" ht="16.5" customHeight="1">
      <c r="B309" s="2" t="e">
        <f t="shared" si="5"/>
        <v>#VALUE!</v>
      </c>
      <c r="C309" t="e">
        <f>FIND(" ",SUBSTITUTE($F$2, CHAR(10), " "),calc!B309)</f>
        <v>#VALUE!</v>
      </c>
      <c r="D309" t="e">
        <f>MID($F$2,calc!B309,calc!C309-calc!B309)</f>
        <v>#VALUE!</v>
      </c>
    </row>
    <row r="310" spans="2:4" ht="16.5" customHeight="1">
      <c r="B310" s="2" t="e">
        <f t="shared" si="5"/>
        <v>#VALUE!</v>
      </c>
      <c r="C310" t="e">
        <f>FIND(" ",SUBSTITUTE($F$2, CHAR(10), " "),calc!B310)</f>
        <v>#VALUE!</v>
      </c>
      <c r="D310" t="e">
        <f>MID($F$2,calc!B310,calc!C310-calc!B310)</f>
        <v>#VALUE!</v>
      </c>
    </row>
    <row r="311" spans="2:4" ht="16.5" customHeight="1">
      <c r="B311" s="2" t="e">
        <f t="shared" si="5"/>
        <v>#VALUE!</v>
      </c>
      <c r="C311" t="e">
        <f>FIND(" ",SUBSTITUTE($F$2, CHAR(10), " "),calc!B311)</f>
        <v>#VALUE!</v>
      </c>
      <c r="D311" t="e">
        <f>MID($F$2,calc!B311,calc!C311-calc!B311)</f>
        <v>#VALUE!</v>
      </c>
    </row>
    <row r="312" spans="2:4" ht="16.5" customHeight="1">
      <c r="B312" s="2" t="e">
        <f t="shared" si="5"/>
        <v>#VALUE!</v>
      </c>
      <c r="C312" t="e">
        <f>FIND(" ",SUBSTITUTE($F$2, CHAR(10), " "),calc!B312)</f>
        <v>#VALUE!</v>
      </c>
      <c r="D312" t="e">
        <f>MID($F$2,calc!B312,calc!C312-calc!B312)</f>
        <v>#VALUE!</v>
      </c>
    </row>
    <row r="313" spans="2:4" ht="16.5" customHeight="1">
      <c r="B313" s="2" t="e">
        <f t="shared" si="5"/>
        <v>#VALUE!</v>
      </c>
      <c r="C313" t="e">
        <f>FIND(" ",SUBSTITUTE($F$2, CHAR(10), " "),calc!B313)</f>
        <v>#VALUE!</v>
      </c>
      <c r="D313" t="e">
        <f>MID($F$2,calc!B313,calc!C313-calc!B313)</f>
        <v>#VALUE!</v>
      </c>
    </row>
    <row r="314" spans="2:4" ht="16.5" customHeight="1">
      <c r="B314" s="2" t="e">
        <f t="shared" si="5"/>
        <v>#VALUE!</v>
      </c>
      <c r="C314" t="e">
        <f>FIND(" ",SUBSTITUTE($F$2, CHAR(10), " "),calc!B314)</f>
        <v>#VALUE!</v>
      </c>
      <c r="D314" t="e">
        <f>MID($F$2,calc!B314,calc!C314-calc!B314)</f>
        <v>#VALUE!</v>
      </c>
    </row>
    <row r="315" spans="2:4" ht="16.5" customHeight="1">
      <c r="B315" s="2" t="e">
        <f t="shared" si="5"/>
        <v>#VALUE!</v>
      </c>
      <c r="C315" t="e">
        <f>FIND(" ",SUBSTITUTE($F$2, CHAR(10), " "),calc!B315)</f>
        <v>#VALUE!</v>
      </c>
      <c r="D315" t="e">
        <f>MID($F$2,calc!B315,calc!C315-calc!B315)</f>
        <v>#VALUE!</v>
      </c>
    </row>
    <row r="316" spans="2:4" ht="16.5" customHeight="1">
      <c r="B316" s="2" t="e">
        <f t="shared" si="5"/>
        <v>#VALUE!</v>
      </c>
      <c r="C316" t="e">
        <f>FIND(" ",SUBSTITUTE($F$2, CHAR(10), " "),calc!B316)</f>
        <v>#VALUE!</v>
      </c>
      <c r="D316" t="e">
        <f>MID($F$2,calc!B316,calc!C316-calc!B316)</f>
        <v>#VALUE!</v>
      </c>
    </row>
    <row r="317" spans="2:4" ht="16.5" customHeight="1">
      <c r="B317" s="2" t="e">
        <f t="shared" si="5"/>
        <v>#VALUE!</v>
      </c>
      <c r="C317" t="e">
        <f>FIND(" ",SUBSTITUTE($F$2, CHAR(10), " "),calc!B317)</f>
        <v>#VALUE!</v>
      </c>
      <c r="D317" t="e">
        <f>MID($F$2,calc!B317,calc!C317-calc!B317)</f>
        <v>#VALUE!</v>
      </c>
    </row>
    <row r="318" spans="2:4" ht="16.5" customHeight="1">
      <c r="B318" s="2" t="e">
        <f t="shared" si="5"/>
        <v>#VALUE!</v>
      </c>
      <c r="C318" t="e">
        <f>FIND(" ",SUBSTITUTE($F$2, CHAR(10), " "),calc!B318)</f>
        <v>#VALUE!</v>
      </c>
      <c r="D318" t="e">
        <f>MID($F$2,calc!B318,calc!C318-calc!B318)</f>
        <v>#VALUE!</v>
      </c>
    </row>
    <row r="319" spans="2:4" ht="16.5" customHeight="1">
      <c r="B319" s="2" t="e">
        <f t="shared" si="5"/>
        <v>#VALUE!</v>
      </c>
      <c r="C319" t="e">
        <f>FIND(" ",SUBSTITUTE($F$2, CHAR(10), " "),calc!B319)</f>
        <v>#VALUE!</v>
      </c>
      <c r="D319" t="e">
        <f>MID($F$2,calc!B319,calc!C319-calc!B319)</f>
        <v>#VALUE!</v>
      </c>
    </row>
    <row r="320" spans="2:4" ht="16.5" customHeight="1">
      <c r="B320" s="2" t="e">
        <f t="shared" si="5"/>
        <v>#VALUE!</v>
      </c>
      <c r="C320" t="e">
        <f>FIND(" ",SUBSTITUTE($F$2, CHAR(10), " "),calc!B320)</f>
        <v>#VALUE!</v>
      </c>
      <c r="D320" t="e">
        <f>MID($F$2,calc!B320,calc!C320-calc!B320)</f>
        <v>#VALUE!</v>
      </c>
    </row>
    <row r="321" spans="2:4" ht="16.5" customHeight="1">
      <c r="B321" s="2" t="e">
        <f t="shared" si="5"/>
        <v>#VALUE!</v>
      </c>
      <c r="C321" t="e">
        <f>FIND(" ",SUBSTITUTE($F$2, CHAR(10), " "),calc!B321)</f>
        <v>#VALUE!</v>
      </c>
      <c r="D321" t="e">
        <f>MID($F$2,calc!B321,calc!C321-calc!B321)</f>
        <v>#VALUE!</v>
      </c>
    </row>
    <row r="322" spans="2:4" ht="16.5" customHeight="1">
      <c r="B322" s="2" t="e">
        <f t="shared" si="5"/>
        <v>#VALUE!</v>
      </c>
      <c r="C322" t="e">
        <f>FIND(" ",SUBSTITUTE($F$2, CHAR(10), " "),calc!B322)</f>
        <v>#VALUE!</v>
      </c>
      <c r="D322" t="e">
        <f>MID($F$2,calc!B322,calc!C322-calc!B322)</f>
        <v>#VALUE!</v>
      </c>
    </row>
    <row r="323" spans="2:4" ht="16.5" customHeight="1">
      <c r="B323" s="2" t="e">
        <f t="shared" ref="B323:B386" si="6">FIND("#", $F$2, B322 +1)</f>
        <v>#VALUE!</v>
      </c>
      <c r="C323" t="e">
        <f>FIND(" ",SUBSTITUTE($F$2, CHAR(10), " "),calc!B323)</f>
        <v>#VALUE!</v>
      </c>
      <c r="D323" t="e">
        <f>MID($F$2,calc!B323,calc!C323-calc!B323)</f>
        <v>#VALUE!</v>
      </c>
    </row>
    <row r="324" spans="2:4" ht="16.5" customHeight="1">
      <c r="B324" s="2" t="e">
        <f t="shared" si="6"/>
        <v>#VALUE!</v>
      </c>
      <c r="C324" t="e">
        <f>FIND(" ",SUBSTITUTE($F$2, CHAR(10), " "),calc!B324)</f>
        <v>#VALUE!</v>
      </c>
      <c r="D324" t="e">
        <f>MID($F$2,calc!B324,calc!C324-calc!B324)</f>
        <v>#VALUE!</v>
      </c>
    </row>
    <row r="325" spans="2:4" ht="16.5" customHeight="1">
      <c r="B325" s="2" t="e">
        <f t="shared" si="6"/>
        <v>#VALUE!</v>
      </c>
      <c r="C325" t="e">
        <f>FIND(" ",SUBSTITUTE($F$2, CHAR(10), " "),calc!B325)</f>
        <v>#VALUE!</v>
      </c>
      <c r="D325" t="e">
        <f>MID($F$2,calc!B325,calc!C325-calc!B325)</f>
        <v>#VALUE!</v>
      </c>
    </row>
    <row r="326" spans="2:4" ht="16.5" customHeight="1">
      <c r="B326" s="2" t="e">
        <f t="shared" si="6"/>
        <v>#VALUE!</v>
      </c>
      <c r="C326" t="e">
        <f>FIND(" ",SUBSTITUTE($F$2, CHAR(10), " "),calc!B326)</f>
        <v>#VALUE!</v>
      </c>
      <c r="D326" t="e">
        <f>MID($F$2,calc!B326,calc!C326-calc!B326)</f>
        <v>#VALUE!</v>
      </c>
    </row>
    <row r="327" spans="2:4" ht="16.5" customHeight="1">
      <c r="B327" s="2" t="e">
        <f t="shared" si="6"/>
        <v>#VALUE!</v>
      </c>
      <c r="C327" t="e">
        <f>FIND(" ",SUBSTITUTE($F$2, CHAR(10), " "),calc!B327)</f>
        <v>#VALUE!</v>
      </c>
      <c r="D327" t="e">
        <f>MID($F$2,calc!B327,calc!C327-calc!B327)</f>
        <v>#VALUE!</v>
      </c>
    </row>
    <row r="328" spans="2:4" ht="16.5" customHeight="1">
      <c r="B328" s="2" t="e">
        <f t="shared" si="6"/>
        <v>#VALUE!</v>
      </c>
      <c r="C328" t="e">
        <f>FIND(" ",SUBSTITUTE($F$2, CHAR(10), " "),calc!B328)</f>
        <v>#VALUE!</v>
      </c>
      <c r="D328" t="e">
        <f>MID($F$2,calc!B328,calc!C328-calc!B328)</f>
        <v>#VALUE!</v>
      </c>
    </row>
    <row r="329" spans="2:4" ht="16.5" customHeight="1">
      <c r="B329" s="2" t="e">
        <f t="shared" si="6"/>
        <v>#VALUE!</v>
      </c>
      <c r="C329" t="e">
        <f>FIND(" ",SUBSTITUTE($F$2, CHAR(10), " "),calc!B329)</f>
        <v>#VALUE!</v>
      </c>
      <c r="D329" t="e">
        <f>MID($F$2,calc!B329,calc!C329-calc!B329)</f>
        <v>#VALUE!</v>
      </c>
    </row>
    <row r="330" spans="2:4" ht="16.5" customHeight="1">
      <c r="B330" s="2" t="e">
        <f t="shared" si="6"/>
        <v>#VALUE!</v>
      </c>
      <c r="C330" t="e">
        <f>FIND(" ",SUBSTITUTE($F$2, CHAR(10), " "),calc!B330)</f>
        <v>#VALUE!</v>
      </c>
      <c r="D330" t="e">
        <f>MID($F$2,calc!B330,calc!C330-calc!B330)</f>
        <v>#VALUE!</v>
      </c>
    </row>
    <row r="331" spans="2:4" ht="16.5" customHeight="1">
      <c r="B331" s="2" t="e">
        <f t="shared" si="6"/>
        <v>#VALUE!</v>
      </c>
      <c r="C331" t="e">
        <f>FIND(" ",SUBSTITUTE($F$2, CHAR(10), " "),calc!B331)</f>
        <v>#VALUE!</v>
      </c>
      <c r="D331" t="e">
        <f>MID($F$2,calc!B331,calc!C331-calc!B331)</f>
        <v>#VALUE!</v>
      </c>
    </row>
    <row r="332" spans="2:4" ht="16.5" customHeight="1">
      <c r="B332" s="2" t="e">
        <f t="shared" si="6"/>
        <v>#VALUE!</v>
      </c>
      <c r="C332" t="e">
        <f>FIND(" ",SUBSTITUTE($F$2, CHAR(10), " "),calc!B332)</f>
        <v>#VALUE!</v>
      </c>
      <c r="D332" t="e">
        <f>MID($F$2,calc!B332,calc!C332-calc!B332)</f>
        <v>#VALUE!</v>
      </c>
    </row>
    <row r="333" spans="2:4" ht="16.5" customHeight="1">
      <c r="B333" s="2" t="e">
        <f t="shared" si="6"/>
        <v>#VALUE!</v>
      </c>
      <c r="C333" t="e">
        <f>FIND(" ",SUBSTITUTE($F$2, CHAR(10), " "),calc!B333)</f>
        <v>#VALUE!</v>
      </c>
      <c r="D333" t="e">
        <f>MID($F$2,calc!B333,calc!C333-calc!B333)</f>
        <v>#VALUE!</v>
      </c>
    </row>
    <row r="334" spans="2:4" ht="16.5" customHeight="1">
      <c r="B334" s="2" t="e">
        <f t="shared" si="6"/>
        <v>#VALUE!</v>
      </c>
      <c r="C334" t="e">
        <f>FIND(" ",SUBSTITUTE($F$2, CHAR(10), " "),calc!B334)</f>
        <v>#VALUE!</v>
      </c>
      <c r="D334" t="e">
        <f>MID($F$2,calc!B334,calc!C334-calc!B334)</f>
        <v>#VALUE!</v>
      </c>
    </row>
    <row r="335" spans="2:4" ht="16.5" customHeight="1">
      <c r="B335" s="2" t="e">
        <f t="shared" si="6"/>
        <v>#VALUE!</v>
      </c>
      <c r="C335" t="e">
        <f>FIND(" ",SUBSTITUTE($F$2, CHAR(10), " "),calc!B335)</f>
        <v>#VALUE!</v>
      </c>
      <c r="D335" t="e">
        <f>MID($F$2,calc!B335,calc!C335-calc!B335)</f>
        <v>#VALUE!</v>
      </c>
    </row>
    <row r="336" spans="2:4" ht="16.5" customHeight="1">
      <c r="B336" s="2" t="e">
        <f t="shared" si="6"/>
        <v>#VALUE!</v>
      </c>
      <c r="C336" t="e">
        <f>FIND(" ",SUBSTITUTE($F$2, CHAR(10), " "),calc!B336)</f>
        <v>#VALUE!</v>
      </c>
      <c r="D336" t="e">
        <f>MID($F$2,calc!B336,calc!C336-calc!B336)</f>
        <v>#VALUE!</v>
      </c>
    </row>
    <row r="337" spans="2:4" ht="16.5" customHeight="1">
      <c r="B337" s="2" t="e">
        <f t="shared" si="6"/>
        <v>#VALUE!</v>
      </c>
      <c r="C337" t="e">
        <f>FIND(" ",SUBSTITUTE($F$2, CHAR(10), " "),calc!B337)</f>
        <v>#VALUE!</v>
      </c>
      <c r="D337" t="e">
        <f>MID($F$2,calc!B337,calc!C337-calc!B337)</f>
        <v>#VALUE!</v>
      </c>
    </row>
    <row r="338" spans="2:4" ht="16.5" customHeight="1">
      <c r="B338" s="2" t="e">
        <f t="shared" si="6"/>
        <v>#VALUE!</v>
      </c>
      <c r="C338" t="e">
        <f>FIND(" ",SUBSTITUTE($F$2, CHAR(10), " "),calc!B338)</f>
        <v>#VALUE!</v>
      </c>
      <c r="D338" t="e">
        <f>MID($F$2,calc!B338,calc!C338-calc!B338)</f>
        <v>#VALUE!</v>
      </c>
    </row>
    <row r="339" spans="2:4" ht="16.5" customHeight="1">
      <c r="B339" s="2" t="e">
        <f t="shared" si="6"/>
        <v>#VALUE!</v>
      </c>
      <c r="C339" t="e">
        <f>FIND(" ",SUBSTITUTE($F$2, CHAR(10), " "),calc!B339)</f>
        <v>#VALUE!</v>
      </c>
      <c r="D339" t="e">
        <f>MID($F$2,calc!B339,calc!C339-calc!B339)</f>
        <v>#VALUE!</v>
      </c>
    </row>
    <row r="340" spans="2:4" ht="16.5" customHeight="1">
      <c r="B340" s="2" t="e">
        <f t="shared" si="6"/>
        <v>#VALUE!</v>
      </c>
      <c r="C340" t="e">
        <f>FIND(" ",SUBSTITUTE($F$2, CHAR(10), " "),calc!B340)</f>
        <v>#VALUE!</v>
      </c>
      <c r="D340" t="e">
        <f>MID($F$2,calc!B340,calc!C340-calc!B340)</f>
        <v>#VALUE!</v>
      </c>
    </row>
    <row r="341" spans="2:4" ht="16.5" customHeight="1">
      <c r="B341" s="2" t="e">
        <f t="shared" si="6"/>
        <v>#VALUE!</v>
      </c>
      <c r="C341" t="e">
        <f>FIND(" ",SUBSTITUTE($F$2, CHAR(10), " "),calc!B341)</f>
        <v>#VALUE!</v>
      </c>
      <c r="D341" t="e">
        <f>MID($F$2,calc!B341,calc!C341-calc!B341)</f>
        <v>#VALUE!</v>
      </c>
    </row>
    <row r="342" spans="2:4" ht="16.5" customHeight="1">
      <c r="B342" s="2" t="e">
        <f t="shared" si="6"/>
        <v>#VALUE!</v>
      </c>
      <c r="C342" t="e">
        <f>FIND(" ",SUBSTITUTE($F$2, CHAR(10), " "),calc!B342)</f>
        <v>#VALUE!</v>
      </c>
      <c r="D342" t="e">
        <f>MID($F$2,calc!B342,calc!C342-calc!B342)</f>
        <v>#VALUE!</v>
      </c>
    </row>
    <row r="343" spans="2:4" ht="16.5" customHeight="1">
      <c r="B343" s="2" t="e">
        <f t="shared" si="6"/>
        <v>#VALUE!</v>
      </c>
      <c r="C343" t="e">
        <f>FIND(" ",SUBSTITUTE($F$2, CHAR(10), " "),calc!B343)</f>
        <v>#VALUE!</v>
      </c>
      <c r="D343" t="e">
        <f>MID($F$2,calc!B343,calc!C343-calc!B343)</f>
        <v>#VALUE!</v>
      </c>
    </row>
    <row r="344" spans="2:4" ht="16.5" customHeight="1">
      <c r="B344" s="2" t="e">
        <f t="shared" si="6"/>
        <v>#VALUE!</v>
      </c>
      <c r="C344" t="e">
        <f>FIND(" ",SUBSTITUTE($F$2, CHAR(10), " "),calc!B344)</f>
        <v>#VALUE!</v>
      </c>
      <c r="D344" t="e">
        <f>MID($F$2,calc!B344,calc!C344-calc!B344)</f>
        <v>#VALUE!</v>
      </c>
    </row>
    <row r="345" spans="2:4" ht="16.5" customHeight="1">
      <c r="B345" s="2" t="e">
        <f t="shared" si="6"/>
        <v>#VALUE!</v>
      </c>
      <c r="C345" t="e">
        <f>FIND(" ",SUBSTITUTE($F$2, CHAR(10), " "),calc!B345)</f>
        <v>#VALUE!</v>
      </c>
      <c r="D345" t="e">
        <f>MID($F$2,calc!B345,calc!C345-calc!B345)</f>
        <v>#VALUE!</v>
      </c>
    </row>
    <row r="346" spans="2:4" ht="16.5" customHeight="1">
      <c r="B346" s="2" t="e">
        <f t="shared" si="6"/>
        <v>#VALUE!</v>
      </c>
      <c r="C346" t="e">
        <f>FIND(" ",SUBSTITUTE($F$2, CHAR(10), " "),calc!B346)</f>
        <v>#VALUE!</v>
      </c>
      <c r="D346" t="e">
        <f>MID($F$2,calc!B346,calc!C346-calc!B346)</f>
        <v>#VALUE!</v>
      </c>
    </row>
    <row r="347" spans="2:4" ht="16.5" customHeight="1">
      <c r="B347" s="2" t="e">
        <f t="shared" si="6"/>
        <v>#VALUE!</v>
      </c>
      <c r="C347" t="e">
        <f>FIND(" ",SUBSTITUTE($F$2, CHAR(10), " "),calc!B347)</f>
        <v>#VALUE!</v>
      </c>
      <c r="D347" t="e">
        <f>MID($F$2,calc!B347,calc!C347-calc!B347)</f>
        <v>#VALUE!</v>
      </c>
    </row>
    <row r="348" spans="2:4" ht="16.5" customHeight="1">
      <c r="B348" s="2" t="e">
        <f t="shared" si="6"/>
        <v>#VALUE!</v>
      </c>
      <c r="C348" t="e">
        <f>FIND(" ",SUBSTITUTE($F$2, CHAR(10), " "),calc!B348)</f>
        <v>#VALUE!</v>
      </c>
      <c r="D348" t="e">
        <f>MID($F$2,calc!B348,calc!C348-calc!B348)</f>
        <v>#VALUE!</v>
      </c>
    </row>
    <row r="349" spans="2:4" ht="16.5" customHeight="1">
      <c r="B349" s="2" t="e">
        <f t="shared" si="6"/>
        <v>#VALUE!</v>
      </c>
      <c r="C349" t="e">
        <f>FIND(" ",SUBSTITUTE($F$2, CHAR(10), " "),calc!B349)</f>
        <v>#VALUE!</v>
      </c>
      <c r="D349" t="e">
        <f>MID($F$2,calc!B349,calc!C349-calc!B349)</f>
        <v>#VALUE!</v>
      </c>
    </row>
    <row r="350" spans="2:4" ht="16.5" customHeight="1">
      <c r="B350" s="2" t="e">
        <f t="shared" si="6"/>
        <v>#VALUE!</v>
      </c>
      <c r="C350" t="e">
        <f>FIND(" ",SUBSTITUTE($F$2, CHAR(10), " "),calc!B350)</f>
        <v>#VALUE!</v>
      </c>
      <c r="D350" t="e">
        <f>MID($F$2,calc!B350,calc!C350-calc!B350)</f>
        <v>#VALUE!</v>
      </c>
    </row>
    <row r="351" spans="2:4" ht="16.5" customHeight="1">
      <c r="B351" s="2" t="e">
        <f t="shared" si="6"/>
        <v>#VALUE!</v>
      </c>
      <c r="C351" t="e">
        <f>FIND(" ",SUBSTITUTE($F$2, CHAR(10), " "),calc!B351)</f>
        <v>#VALUE!</v>
      </c>
      <c r="D351" t="e">
        <f>MID($F$2,calc!B351,calc!C351-calc!B351)</f>
        <v>#VALUE!</v>
      </c>
    </row>
    <row r="352" spans="2:4" ht="16.5" customHeight="1">
      <c r="B352" s="2" t="e">
        <f t="shared" si="6"/>
        <v>#VALUE!</v>
      </c>
      <c r="C352" t="e">
        <f>FIND(" ",SUBSTITUTE($F$2, CHAR(10), " "),calc!B352)</f>
        <v>#VALUE!</v>
      </c>
      <c r="D352" t="e">
        <f>MID($F$2,calc!B352,calc!C352-calc!B352)</f>
        <v>#VALUE!</v>
      </c>
    </row>
    <row r="353" spans="2:4" ht="16.5" customHeight="1">
      <c r="B353" s="2" t="e">
        <f t="shared" si="6"/>
        <v>#VALUE!</v>
      </c>
      <c r="C353" t="e">
        <f>FIND(" ",SUBSTITUTE($F$2, CHAR(10), " "),calc!B353)</f>
        <v>#VALUE!</v>
      </c>
      <c r="D353" t="e">
        <f>MID($F$2,calc!B353,calc!C353-calc!B353)</f>
        <v>#VALUE!</v>
      </c>
    </row>
    <row r="354" spans="2:4" ht="16.5" customHeight="1">
      <c r="B354" s="2" t="e">
        <f t="shared" si="6"/>
        <v>#VALUE!</v>
      </c>
      <c r="C354" t="e">
        <f>FIND(" ",SUBSTITUTE($F$2, CHAR(10), " "),calc!B354)</f>
        <v>#VALUE!</v>
      </c>
      <c r="D354" t="e">
        <f>MID($F$2,calc!B354,calc!C354-calc!B354)</f>
        <v>#VALUE!</v>
      </c>
    </row>
    <row r="355" spans="2:4" ht="16.5" customHeight="1">
      <c r="B355" s="2" t="e">
        <f t="shared" si="6"/>
        <v>#VALUE!</v>
      </c>
      <c r="C355" t="e">
        <f>FIND(" ",SUBSTITUTE($F$2, CHAR(10), " "),calc!B355)</f>
        <v>#VALUE!</v>
      </c>
      <c r="D355" t="e">
        <f>MID($F$2,calc!B355,calc!C355-calc!B355)</f>
        <v>#VALUE!</v>
      </c>
    </row>
    <row r="356" spans="2:4" ht="16.5" customHeight="1">
      <c r="B356" s="2" t="e">
        <f t="shared" si="6"/>
        <v>#VALUE!</v>
      </c>
      <c r="C356" t="e">
        <f>FIND(" ",SUBSTITUTE($F$2, CHAR(10), " "),calc!B356)</f>
        <v>#VALUE!</v>
      </c>
      <c r="D356" t="e">
        <f>MID($F$2,calc!B356,calc!C356-calc!B356)</f>
        <v>#VALUE!</v>
      </c>
    </row>
    <row r="357" spans="2:4" ht="16.5" customHeight="1">
      <c r="B357" s="2" t="e">
        <f t="shared" si="6"/>
        <v>#VALUE!</v>
      </c>
      <c r="C357" t="e">
        <f>FIND(" ",SUBSTITUTE($F$2, CHAR(10), " "),calc!B357)</f>
        <v>#VALUE!</v>
      </c>
      <c r="D357" t="e">
        <f>MID($F$2,calc!B357,calc!C357-calc!B357)</f>
        <v>#VALUE!</v>
      </c>
    </row>
    <row r="358" spans="2:4" ht="16.5" customHeight="1">
      <c r="B358" s="2" t="e">
        <f t="shared" si="6"/>
        <v>#VALUE!</v>
      </c>
      <c r="C358" t="e">
        <f>FIND(" ",SUBSTITUTE($F$2, CHAR(10), " "),calc!B358)</f>
        <v>#VALUE!</v>
      </c>
      <c r="D358" t="e">
        <f>MID($F$2,calc!B358,calc!C358-calc!B358)</f>
        <v>#VALUE!</v>
      </c>
    </row>
    <row r="359" spans="2:4" ht="16.5" customHeight="1">
      <c r="B359" s="2" t="e">
        <f t="shared" si="6"/>
        <v>#VALUE!</v>
      </c>
      <c r="C359" t="e">
        <f>FIND(" ",SUBSTITUTE($F$2, CHAR(10), " "),calc!B359)</f>
        <v>#VALUE!</v>
      </c>
      <c r="D359" t="e">
        <f>MID($F$2,calc!B359,calc!C359-calc!B359)</f>
        <v>#VALUE!</v>
      </c>
    </row>
    <row r="360" spans="2:4" ht="16.5" customHeight="1">
      <c r="B360" s="2" t="e">
        <f t="shared" si="6"/>
        <v>#VALUE!</v>
      </c>
      <c r="C360" t="e">
        <f>FIND(" ",SUBSTITUTE($F$2, CHAR(10), " "),calc!B360)</f>
        <v>#VALUE!</v>
      </c>
      <c r="D360" t="e">
        <f>MID($F$2,calc!B360,calc!C360-calc!B360)</f>
        <v>#VALUE!</v>
      </c>
    </row>
    <row r="361" spans="2:4" ht="16.5" customHeight="1">
      <c r="B361" s="2" t="e">
        <f t="shared" si="6"/>
        <v>#VALUE!</v>
      </c>
      <c r="C361" t="e">
        <f>FIND(" ",SUBSTITUTE($F$2, CHAR(10), " "),calc!B361)</f>
        <v>#VALUE!</v>
      </c>
      <c r="D361" t="e">
        <f>MID($F$2,calc!B361,calc!C361-calc!B361)</f>
        <v>#VALUE!</v>
      </c>
    </row>
    <row r="362" spans="2:4" ht="16.5" customHeight="1">
      <c r="B362" s="2" t="e">
        <f t="shared" si="6"/>
        <v>#VALUE!</v>
      </c>
      <c r="C362" t="e">
        <f>FIND(" ",SUBSTITUTE($F$2, CHAR(10), " "),calc!B362)</f>
        <v>#VALUE!</v>
      </c>
      <c r="D362" t="e">
        <f>MID($F$2,calc!B362,calc!C362-calc!B362)</f>
        <v>#VALUE!</v>
      </c>
    </row>
    <row r="363" spans="2:4" ht="16.5" customHeight="1">
      <c r="B363" s="2" t="e">
        <f t="shared" si="6"/>
        <v>#VALUE!</v>
      </c>
      <c r="C363" t="e">
        <f>FIND(" ",SUBSTITUTE($F$2, CHAR(10), " "),calc!B363)</f>
        <v>#VALUE!</v>
      </c>
      <c r="D363" t="e">
        <f>MID($F$2,calc!B363,calc!C363-calc!B363)</f>
        <v>#VALUE!</v>
      </c>
    </row>
    <row r="364" spans="2:4" ht="16.5" customHeight="1">
      <c r="B364" s="2" t="e">
        <f t="shared" si="6"/>
        <v>#VALUE!</v>
      </c>
      <c r="C364" t="e">
        <f>FIND(" ",SUBSTITUTE($F$2, CHAR(10), " "),calc!B364)</f>
        <v>#VALUE!</v>
      </c>
      <c r="D364" t="e">
        <f>MID($F$2,calc!B364,calc!C364-calc!B364)</f>
        <v>#VALUE!</v>
      </c>
    </row>
    <row r="365" spans="2:4" ht="16.5" customHeight="1">
      <c r="B365" s="2" t="e">
        <f t="shared" si="6"/>
        <v>#VALUE!</v>
      </c>
      <c r="C365" t="e">
        <f>FIND(" ",SUBSTITUTE($F$2, CHAR(10), " "),calc!B365)</f>
        <v>#VALUE!</v>
      </c>
      <c r="D365" t="e">
        <f>MID($F$2,calc!B365,calc!C365-calc!B365)</f>
        <v>#VALUE!</v>
      </c>
    </row>
    <row r="366" spans="2:4" ht="16.5" customHeight="1">
      <c r="B366" s="2" t="e">
        <f t="shared" si="6"/>
        <v>#VALUE!</v>
      </c>
      <c r="C366" t="e">
        <f>FIND(" ",SUBSTITUTE($F$2, CHAR(10), " "),calc!B366)</f>
        <v>#VALUE!</v>
      </c>
      <c r="D366" t="e">
        <f>MID($F$2,calc!B366,calc!C366-calc!B366)</f>
        <v>#VALUE!</v>
      </c>
    </row>
    <row r="367" spans="2:4" ht="16.5" customHeight="1">
      <c r="B367" s="2" t="e">
        <f t="shared" si="6"/>
        <v>#VALUE!</v>
      </c>
      <c r="C367" t="e">
        <f>FIND(" ",SUBSTITUTE($F$2, CHAR(10), " "),calc!B367)</f>
        <v>#VALUE!</v>
      </c>
      <c r="D367" t="e">
        <f>MID($F$2,calc!B367,calc!C367-calc!B367)</f>
        <v>#VALUE!</v>
      </c>
    </row>
    <row r="368" spans="2:4" ht="16.5" customHeight="1">
      <c r="B368" s="2" t="e">
        <f t="shared" si="6"/>
        <v>#VALUE!</v>
      </c>
      <c r="C368" t="e">
        <f>FIND(" ",SUBSTITUTE($F$2, CHAR(10), " "),calc!B368)</f>
        <v>#VALUE!</v>
      </c>
      <c r="D368" t="e">
        <f>MID($F$2,calc!B368,calc!C368-calc!B368)</f>
        <v>#VALUE!</v>
      </c>
    </row>
    <row r="369" spans="2:4" ht="16.5" customHeight="1">
      <c r="B369" s="2" t="e">
        <f t="shared" si="6"/>
        <v>#VALUE!</v>
      </c>
      <c r="C369" t="e">
        <f>FIND(" ",SUBSTITUTE($F$2, CHAR(10), " "),calc!B369)</f>
        <v>#VALUE!</v>
      </c>
      <c r="D369" t="e">
        <f>MID($F$2,calc!B369,calc!C369-calc!B369)</f>
        <v>#VALUE!</v>
      </c>
    </row>
    <row r="370" spans="2:4" ht="16.5" customHeight="1">
      <c r="B370" s="2" t="e">
        <f t="shared" si="6"/>
        <v>#VALUE!</v>
      </c>
      <c r="C370" t="e">
        <f>FIND(" ",SUBSTITUTE($F$2, CHAR(10), " "),calc!B370)</f>
        <v>#VALUE!</v>
      </c>
      <c r="D370" t="e">
        <f>MID($F$2,calc!B370,calc!C370-calc!B370)</f>
        <v>#VALUE!</v>
      </c>
    </row>
    <row r="371" spans="2:4" ht="16.5" customHeight="1">
      <c r="B371" s="2" t="e">
        <f t="shared" si="6"/>
        <v>#VALUE!</v>
      </c>
      <c r="C371" t="e">
        <f>FIND(" ",SUBSTITUTE($F$2, CHAR(10), " "),calc!B371)</f>
        <v>#VALUE!</v>
      </c>
      <c r="D371" t="e">
        <f>MID($F$2,calc!B371,calc!C371-calc!B371)</f>
        <v>#VALUE!</v>
      </c>
    </row>
    <row r="372" spans="2:4" ht="16.5" customHeight="1">
      <c r="B372" s="2" t="e">
        <f t="shared" si="6"/>
        <v>#VALUE!</v>
      </c>
      <c r="C372" t="e">
        <f>FIND(" ",SUBSTITUTE($F$2, CHAR(10), " "),calc!B372)</f>
        <v>#VALUE!</v>
      </c>
      <c r="D372" t="e">
        <f>MID($F$2,calc!B372,calc!C372-calc!B372)</f>
        <v>#VALUE!</v>
      </c>
    </row>
    <row r="373" spans="2:4" ht="16.5" customHeight="1">
      <c r="B373" s="2" t="e">
        <f t="shared" si="6"/>
        <v>#VALUE!</v>
      </c>
      <c r="C373" t="e">
        <f>FIND(" ",SUBSTITUTE($F$2, CHAR(10), " "),calc!B373)</f>
        <v>#VALUE!</v>
      </c>
      <c r="D373" t="e">
        <f>MID($F$2,calc!B373,calc!C373-calc!B373)</f>
        <v>#VALUE!</v>
      </c>
    </row>
    <row r="374" spans="2:4" ht="16.5" customHeight="1">
      <c r="B374" s="2" t="e">
        <f t="shared" si="6"/>
        <v>#VALUE!</v>
      </c>
      <c r="C374" t="e">
        <f>FIND(" ",SUBSTITUTE($F$2, CHAR(10), " "),calc!B374)</f>
        <v>#VALUE!</v>
      </c>
      <c r="D374" t="e">
        <f>MID($F$2,calc!B374,calc!C374-calc!B374)</f>
        <v>#VALUE!</v>
      </c>
    </row>
    <row r="375" spans="2:4" ht="16.5" customHeight="1">
      <c r="B375" s="2" t="e">
        <f t="shared" si="6"/>
        <v>#VALUE!</v>
      </c>
      <c r="C375" t="e">
        <f>FIND(" ",SUBSTITUTE($F$2, CHAR(10), " "),calc!B375)</f>
        <v>#VALUE!</v>
      </c>
      <c r="D375" t="e">
        <f>MID($F$2,calc!B375,calc!C375-calc!B375)</f>
        <v>#VALUE!</v>
      </c>
    </row>
    <row r="376" spans="2:4" ht="16.5" customHeight="1">
      <c r="B376" s="2" t="e">
        <f t="shared" si="6"/>
        <v>#VALUE!</v>
      </c>
      <c r="C376" t="e">
        <f>FIND(" ",SUBSTITUTE($F$2, CHAR(10), " "),calc!B376)</f>
        <v>#VALUE!</v>
      </c>
      <c r="D376" t="e">
        <f>MID($F$2,calc!B376,calc!C376-calc!B376)</f>
        <v>#VALUE!</v>
      </c>
    </row>
    <row r="377" spans="2:4" ht="16.5" customHeight="1">
      <c r="B377" s="2" t="e">
        <f t="shared" si="6"/>
        <v>#VALUE!</v>
      </c>
      <c r="C377" t="e">
        <f>FIND(" ",SUBSTITUTE($F$2, CHAR(10), " "),calc!B377)</f>
        <v>#VALUE!</v>
      </c>
      <c r="D377" t="e">
        <f>MID($F$2,calc!B377,calc!C377-calc!B377)</f>
        <v>#VALUE!</v>
      </c>
    </row>
    <row r="378" spans="2:4" ht="16.5" customHeight="1">
      <c r="B378" s="2" t="e">
        <f t="shared" si="6"/>
        <v>#VALUE!</v>
      </c>
      <c r="C378" t="e">
        <f>FIND(" ",SUBSTITUTE($F$2, CHAR(10), " "),calc!B378)</f>
        <v>#VALUE!</v>
      </c>
      <c r="D378" t="e">
        <f>MID($F$2,calc!B378,calc!C378-calc!B378)</f>
        <v>#VALUE!</v>
      </c>
    </row>
    <row r="379" spans="2:4" ht="16.5" customHeight="1">
      <c r="B379" s="2" t="e">
        <f t="shared" si="6"/>
        <v>#VALUE!</v>
      </c>
      <c r="C379" t="e">
        <f>FIND(" ",SUBSTITUTE($F$2, CHAR(10), " "),calc!B379)</f>
        <v>#VALUE!</v>
      </c>
      <c r="D379" t="e">
        <f>MID($F$2,calc!B379,calc!C379-calc!B379)</f>
        <v>#VALUE!</v>
      </c>
    </row>
    <row r="380" spans="2:4" ht="16.5" customHeight="1">
      <c r="B380" s="2" t="e">
        <f t="shared" si="6"/>
        <v>#VALUE!</v>
      </c>
      <c r="C380" t="e">
        <f>FIND(" ",SUBSTITUTE($F$2, CHAR(10), " "),calc!B380)</f>
        <v>#VALUE!</v>
      </c>
      <c r="D380" t="e">
        <f>MID($F$2,calc!B380,calc!C380-calc!B380)</f>
        <v>#VALUE!</v>
      </c>
    </row>
    <row r="381" spans="2:4" ht="16.5" customHeight="1">
      <c r="B381" s="2" t="e">
        <f t="shared" si="6"/>
        <v>#VALUE!</v>
      </c>
      <c r="C381" t="e">
        <f>FIND(" ",SUBSTITUTE($F$2, CHAR(10), " "),calc!B381)</f>
        <v>#VALUE!</v>
      </c>
      <c r="D381" t="e">
        <f>MID($F$2,calc!B381,calc!C381-calc!B381)</f>
        <v>#VALUE!</v>
      </c>
    </row>
    <row r="382" spans="2:4" ht="16.5" customHeight="1">
      <c r="B382" s="2" t="e">
        <f t="shared" si="6"/>
        <v>#VALUE!</v>
      </c>
      <c r="C382" t="e">
        <f>FIND(" ",SUBSTITUTE($F$2, CHAR(10), " "),calc!B382)</f>
        <v>#VALUE!</v>
      </c>
      <c r="D382" t="e">
        <f>MID($F$2,calc!B382,calc!C382-calc!B382)</f>
        <v>#VALUE!</v>
      </c>
    </row>
    <row r="383" spans="2:4" ht="16.5" customHeight="1">
      <c r="B383" s="2" t="e">
        <f t="shared" si="6"/>
        <v>#VALUE!</v>
      </c>
      <c r="C383" t="e">
        <f>FIND(" ",SUBSTITUTE($F$2, CHAR(10), " "),calc!B383)</f>
        <v>#VALUE!</v>
      </c>
      <c r="D383" t="e">
        <f>MID($F$2,calc!B383,calc!C383-calc!B383)</f>
        <v>#VALUE!</v>
      </c>
    </row>
    <row r="384" spans="2:4" ht="16.5" customHeight="1">
      <c r="B384" s="2" t="e">
        <f t="shared" si="6"/>
        <v>#VALUE!</v>
      </c>
      <c r="C384" t="e">
        <f>FIND(" ",SUBSTITUTE($F$2, CHAR(10), " "),calc!B384)</f>
        <v>#VALUE!</v>
      </c>
      <c r="D384" t="e">
        <f>MID($F$2,calc!B384,calc!C384-calc!B384)</f>
        <v>#VALUE!</v>
      </c>
    </row>
    <row r="385" spans="2:4" ht="16.5" customHeight="1">
      <c r="B385" s="2" t="e">
        <f t="shared" si="6"/>
        <v>#VALUE!</v>
      </c>
      <c r="C385" t="e">
        <f>FIND(" ",SUBSTITUTE($F$2, CHAR(10), " "),calc!B385)</f>
        <v>#VALUE!</v>
      </c>
      <c r="D385" t="e">
        <f>MID($F$2,calc!B385,calc!C385-calc!B385)</f>
        <v>#VALUE!</v>
      </c>
    </row>
    <row r="386" spans="2:4" ht="16.5" customHeight="1">
      <c r="B386" s="2" t="e">
        <f t="shared" si="6"/>
        <v>#VALUE!</v>
      </c>
      <c r="C386" t="e">
        <f>FIND(" ",SUBSTITUTE($F$2, CHAR(10), " "),calc!B386)</f>
        <v>#VALUE!</v>
      </c>
      <c r="D386" t="e">
        <f>MID($F$2,calc!B386,calc!C386-calc!B386)</f>
        <v>#VALUE!</v>
      </c>
    </row>
    <row r="387" spans="2:4" ht="16.5" customHeight="1">
      <c r="B387" s="2" t="e">
        <f t="shared" ref="B387:B450" si="7">FIND("#", $F$2, B386 +1)</f>
        <v>#VALUE!</v>
      </c>
      <c r="C387" t="e">
        <f>FIND(" ",SUBSTITUTE($F$2, CHAR(10), " "),calc!B387)</f>
        <v>#VALUE!</v>
      </c>
      <c r="D387" t="e">
        <f>MID($F$2,calc!B387,calc!C387-calc!B387)</f>
        <v>#VALUE!</v>
      </c>
    </row>
    <row r="388" spans="2:4" ht="16.5" customHeight="1">
      <c r="B388" s="2" t="e">
        <f t="shared" si="7"/>
        <v>#VALUE!</v>
      </c>
      <c r="C388" t="e">
        <f>FIND(" ",SUBSTITUTE($F$2, CHAR(10), " "),calc!B388)</f>
        <v>#VALUE!</v>
      </c>
      <c r="D388" t="e">
        <f>MID($F$2,calc!B388,calc!C388-calc!B388)</f>
        <v>#VALUE!</v>
      </c>
    </row>
    <row r="389" spans="2:4" ht="16.5" customHeight="1">
      <c r="B389" s="2" t="e">
        <f t="shared" si="7"/>
        <v>#VALUE!</v>
      </c>
      <c r="C389" t="e">
        <f>FIND(" ",SUBSTITUTE($F$2, CHAR(10), " "),calc!B389)</f>
        <v>#VALUE!</v>
      </c>
      <c r="D389" t="e">
        <f>MID($F$2,calc!B389,calc!C389-calc!B389)</f>
        <v>#VALUE!</v>
      </c>
    </row>
    <row r="390" spans="2:4" ht="16.5" customHeight="1">
      <c r="B390" s="2" t="e">
        <f t="shared" si="7"/>
        <v>#VALUE!</v>
      </c>
      <c r="C390" t="e">
        <f>FIND(" ",SUBSTITUTE($F$2, CHAR(10), " "),calc!B390)</f>
        <v>#VALUE!</v>
      </c>
      <c r="D390" t="e">
        <f>MID($F$2,calc!B390,calc!C390-calc!B390)</f>
        <v>#VALUE!</v>
      </c>
    </row>
    <row r="391" spans="2:4" ht="16.5" customHeight="1">
      <c r="B391" s="2" t="e">
        <f t="shared" si="7"/>
        <v>#VALUE!</v>
      </c>
      <c r="C391" t="e">
        <f>FIND(" ",SUBSTITUTE($F$2, CHAR(10), " "),calc!B391)</f>
        <v>#VALUE!</v>
      </c>
      <c r="D391" t="e">
        <f>MID($F$2,calc!B391,calc!C391-calc!B391)</f>
        <v>#VALUE!</v>
      </c>
    </row>
    <row r="392" spans="2:4" ht="16.5" customHeight="1">
      <c r="B392" s="2" t="e">
        <f t="shared" si="7"/>
        <v>#VALUE!</v>
      </c>
      <c r="C392" t="e">
        <f>FIND(" ",SUBSTITUTE($F$2, CHAR(10), " "),calc!B392)</f>
        <v>#VALUE!</v>
      </c>
      <c r="D392" t="e">
        <f>MID($F$2,calc!B392,calc!C392-calc!B392)</f>
        <v>#VALUE!</v>
      </c>
    </row>
    <row r="393" spans="2:4" ht="16.5" customHeight="1">
      <c r="B393" s="2" t="e">
        <f t="shared" si="7"/>
        <v>#VALUE!</v>
      </c>
      <c r="C393" t="e">
        <f>FIND(" ",SUBSTITUTE($F$2, CHAR(10), " "),calc!B393)</f>
        <v>#VALUE!</v>
      </c>
      <c r="D393" t="e">
        <f>MID($F$2,calc!B393,calc!C393-calc!B393)</f>
        <v>#VALUE!</v>
      </c>
    </row>
    <row r="394" spans="2:4" ht="16.5" customHeight="1">
      <c r="B394" s="2" t="e">
        <f t="shared" si="7"/>
        <v>#VALUE!</v>
      </c>
      <c r="C394" t="e">
        <f>FIND(" ",SUBSTITUTE($F$2, CHAR(10), " "),calc!B394)</f>
        <v>#VALUE!</v>
      </c>
      <c r="D394" t="e">
        <f>MID($F$2,calc!B394,calc!C394-calc!B394)</f>
        <v>#VALUE!</v>
      </c>
    </row>
    <row r="395" spans="2:4" ht="16.5" customHeight="1">
      <c r="B395" s="2" t="e">
        <f t="shared" si="7"/>
        <v>#VALUE!</v>
      </c>
      <c r="C395" t="e">
        <f>FIND(" ",SUBSTITUTE($F$2, CHAR(10), " "),calc!B395)</f>
        <v>#VALUE!</v>
      </c>
      <c r="D395" t="e">
        <f>MID($F$2,calc!B395,calc!C395-calc!B395)</f>
        <v>#VALUE!</v>
      </c>
    </row>
    <row r="396" spans="2:4" ht="16.5" customHeight="1">
      <c r="B396" s="2" t="e">
        <f t="shared" si="7"/>
        <v>#VALUE!</v>
      </c>
      <c r="C396" t="e">
        <f>FIND(" ",SUBSTITUTE($F$2, CHAR(10), " "),calc!B396)</f>
        <v>#VALUE!</v>
      </c>
      <c r="D396" t="e">
        <f>MID($F$2,calc!B396,calc!C396-calc!B396)</f>
        <v>#VALUE!</v>
      </c>
    </row>
    <row r="397" spans="2:4" ht="16.5" customHeight="1">
      <c r="B397" s="2" t="e">
        <f t="shared" si="7"/>
        <v>#VALUE!</v>
      </c>
      <c r="C397" t="e">
        <f>FIND(" ",SUBSTITUTE($F$2, CHAR(10), " "),calc!B397)</f>
        <v>#VALUE!</v>
      </c>
      <c r="D397" t="e">
        <f>MID($F$2,calc!B397,calc!C397-calc!B397)</f>
        <v>#VALUE!</v>
      </c>
    </row>
    <row r="398" spans="2:4" ht="16.5" customHeight="1">
      <c r="B398" s="2" t="e">
        <f t="shared" si="7"/>
        <v>#VALUE!</v>
      </c>
      <c r="C398" t="e">
        <f>FIND(" ",SUBSTITUTE($F$2, CHAR(10), " "),calc!B398)</f>
        <v>#VALUE!</v>
      </c>
      <c r="D398" t="e">
        <f>MID($F$2,calc!B398,calc!C398-calc!B398)</f>
        <v>#VALUE!</v>
      </c>
    </row>
    <row r="399" spans="2:4" ht="16.5" customHeight="1">
      <c r="B399" s="2" t="e">
        <f t="shared" si="7"/>
        <v>#VALUE!</v>
      </c>
      <c r="C399" t="e">
        <f>FIND(" ",SUBSTITUTE($F$2, CHAR(10), " "),calc!B399)</f>
        <v>#VALUE!</v>
      </c>
      <c r="D399" t="e">
        <f>MID($F$2,calc!B399,calc!C399-calc!B399)</f>
        <v>#VALUE!</v>
      </c>
    </row>
    <row r="400" spans="2:4" ht="16.5" customHeight="1">
      <c r="B400" s="2" t="e">
        <f t="shared" si="7"/>
        <v>#VALUE!</v>
      </c>
      <c r="C400" t="e">
        <f>FIND(" ",SUBSTITUTE($F$2, CHAR(10), " "),calc!B400)</f>
        <v>#VALUE!</v>
      </c>
      <c r="D400" t="e">
        <f>MID($F$2,calc!B400,calc!C400-calc!B400)</f>
        <v>#VALUE!</v>
      </c>
    </row>
    <row r="401" spans="2:4" ht="16.5" customHeight="1">
      <c r="B401" s="2" t="e">
        <f t="shared" si="7"/>
        <v>#VALUE!</v>
      </c>
      <c r="C401" t="e">
        <f>FIND(" ",SUBSTITUTE($F$2, CHAR(10), " "),calc!B401)</f>
        <v>#VALUE!</v>
      </c>
      <c r="D401" t="e">
        <f>MID($F$2,calc!B401,calc!C401-calc!B401)</f>
        <v>#VALUE!</v>
      </c>
    </row>
    <row r="402" spans="2:4" ht="16.5" customHeight="1">
      <c r="B402" s="2" t="e">
        <f t="shared" si="7"/>
        <v>#VALUE!</v>
      </c>
      <c r="C402" t="e">
        <f>FIND(" ",SUBSTITUTE($F$2, CHAR(10), " "),calc!B402)</f>
        <v>#VALUE!</v>
      </c>
      <c r="D402" t="e">
        <f>MID($F$2,calc!B402,calc!C402-calc!B402)</f>
        <v>#VALUE!</v>
      </c>
    </row>
    <row r="403" spans="2:4" ht="16.5" customHeight="1">
      <c r="B403" s="2" t="e">
        <f t="shared" si="7"/>
        <v>#VALUE!</v>
      </c>
      <c r="C403" t="e">
        <f>FIND(" ",SUBSTITUTE($F$2, CHAR(10), " "),calc!B403)</f>
        <v>#VALUE!</v>
      </c>
      <c r="D403" t="e">
        <f>MID($F$2,calc!B403,calc!C403-calc!B403)</f>
        <v>#VALUE!</v>
      </c>
    </row>
    <row r="404" spans="2:4" ht="16.5" customHeight="1">
      <c r="B404" s="2" t="e">
        <f t="shared" si="7"/>
        <v>#VALUE!</v>
      </c>
      <c r="C404" t="e">
        <f>FIND(" ",SUBSTITUTE($F$2, CHAR(10), " "),calc!B404)</f>
        <v>#VALUE!</v>
      </c>
      <c r="D404" t="e">
        <f>MID($F$2,calc!B404,calc!C404-calc!B404)</f>
        <v>#VALUE!</v>
      </c>
    </row>
    <row r="405" spans="2:4" ht="16.5" customHeight="1">
      <c r="B405" s="2" t="e">
        <f t="shared" si="7"/>
        <v>#VALUE!</v>
      </c>
      <c r="C405" t="e">
        <f>FIND(" ",SUBSTITUTE($F$2, CHAR(10), " "),calc!B405)</f>
        <v>#VALUE!</v>
      </c>
      <c r="D405" t="e">
        <f>MID($F$2,calc!B405,calc!C405-calc!B405)</f>
        <v>#VALUE!</v>
      </c>
    </row>
    <row r="406" spans="2:4" ht="16.5" customHeight="1">
      <c r="B406" s="2" t="e">
        <f t="shared" si="7"/>
        <v>#VALUE!</v>
      </c>
      <c r="C406" t="e">
        <f>FIND(" ",SUBSTITUTE($F$2, CHAR(10), " "),calc!B406)</f>
        <v>#VALUE!</v>
      </c>
      <c r="D406" t="e">
        <f>MID($F$2,calc!B406,calc!C406-calc!B406)</f>
        <v>#VALUE!</v>
      </c>
    </row>
    <row r="407" spans="2:4" ht="16.5" customHeight="1">
      <c r="B407" s="2" t="e">
        <f t="shared" si="7"/>
        <v>#VALUE!</v>
      </c>
      <c r="C407" t="e">
        <f>FIND(" ",SUBSTITUTE($F$2, CHAR(10), " "),calc!B407)</f>
        <v>#VALUE!</v>
      </c>
      <c r="D407" t="e">
        <f>MID($F$2,calc!B407,calc!C407-calc!B407)</f>
        <v>#VALUE!</v>
      </c>
    </row>
    <row r="408" spans="2:4" ht="16.5" customHeight="1">
      <c r="B408" s="2" t="e">
        <f t="shared" si="7"/>
        <v>#VALUE!</v>
      </c>
      <c r="C408" t="e">
        <f>FIND(" ",SUBSTITUTE($F$2, CHAR(10), " "),calc!B408)</f>
        <v>#VALUE!</v>
      </c>
      <c r="D408" t="e">
        <f>MID($F$2,calc!B408,calc!C408-calc!B408)</f>
        <v>#VALUE!</v>
      </c>
    </row>
    <row r="409" spans="2:4" ht="16.5" customHeight="1">
      <c r="B409" s="2" t="e">
        <f t="shared" si="7"/>
        <v>#VALUE!</v>
      </c>
      <c r="C409" t="e">
        <f>FIND(" ",SUBSTITUTE($F$2, CHAR(10), " "),calc!B409)</f>
        <v>#VALUE!</v>
      </c>
      <c r="D409" t="e">
        <f>MID($F$2,calc!B409,calc!C409-calc!B409)</f>
        <v>#VALUE!</v>
      </c>
    </row>
    <row r="410" spans="2:4" ht="16.5" customHeight="1">
      <c r="B410" s="2" t="e">
        <f t="shared" si="7"/>
        <v>#VALUE!</v>
      </c>
      <c r="C410" t="e">
        <f>FIND(" ",SUBSTITUTE($F$2, CHAR(10), " "),calc!B410)</f>
        <v>#VALUE!</v>
      </c>
      <c r="D410" t="e">
        <f>MID($F$2,calc!B410,calc!C410-calc!B410)</f>
        <v>#VALUE!</v>
      </c>
    </row>
    <row r="411" spans="2:4" ht="16.5" customHeight="1">
      <c r="B411" s="2" t="e">
        <f t="shared" si="7"/>
        <v>#VALUE!</v>
      </c>
      <c r="C411" t="e">
        <f>FIND(" ",SUBSTITUTE($F$2, CHAR(10), " "),calc!B411)</f>
        <v>#VALUE!</v>
      </c>
      <c r="D411" t="e">
        <f>MID($F$2,calc!B411,calc!C411-calc!B411)</f>
        <v>#VALUE!</v>
      </c>
    </row>
    <row r="412" spans="2:4" ht="16.5" customHeight="1">
      <c r="B412" s="2" t="e">
        <f t="shared" si="7"/>
        <v>#VALUE!</v>
      </c>
      <c r="C412" t="e">
        <f>FIND(" ",SUBSTITUTE($F$2, CHAR(10), " "),calc!B412)</f>
        <v>#VALUE!</v>
      </c>
      <c r="D412" t="e">
        <f>MID($F$2,calc!B412,calc!C412-calc!B412)</f>
        <v>#VALUE!</v>
      </c>
    </row>
    <row r="413" spans="2:4" ht="16.5" customHeight="1">
      <c r="B413" s="2" t="e">
        <f t="shared" si="7"/>
        <v>#VALUE!</v>
      </c>
      <c r="C413" t="e">
        <f>FIND(" ",SUBSTITUTE($F$2, CHAR(10), " "),calc!B413)</f>
        <v>#VALUE!</v>
      </c>
      <c r="D413" t="e">
        <f>MID($F$2,calc!B413,calc!C413-calc!B413)</f>
        <v>#VALUE!</v>
      </c>
    </row>
    <row r="414" spans="2:4" ht="16.5" customHeight="1">
      <c r="B414" s="2" t="e">
        <f t="shared" si="7"/>
        <v>#VALUE!</v>
      </c>
      <c r="C414" t="e">
        <f>FIND(" ",SUBSTITUTE($F$2, CHAR(10), " "),calc!B414)</f>
        <v>#VALUE!</v>
      </c>
      <c r="D414" t="e">
        <f>MID($F$2,calc!B414,calc!C414-calc!B414)</f>
        <v>#VALUE!</v>
      </c>
    </row>
    <row r="415" spans="2:4" ht="16.5" customHeight="1">
      <c r="B415" s="2" t="e">
        <f t="shared" si="7"/>
        <v>#VALUE!</v>
      </c>
      <c r="C415" t="e">
        <f>FIND(" ",SUBSTITUTE($F$2, CHAR(10), " "),calc!B415)</f>
        <v>#VALUE!</v>
      </c>
      <c r="D415" t="e">
        <f>MID($F$2,calc!B415,calc!C415-calc!B415)</f>
        <v>#VALUE!</v>
      </c>
    </row>
    <row r="416" spans="2:4" ht="16.5" customHeight="1">
      <c r="B416" s="2" t="e">
        <f t="shared" si="7"/>
        <v>#VALUE!</v>
      </c>
      <c r="C416" t="e">
        <f>FIND(" ",SUBSTITUTE($F$2, CHAR(10), " "),calc!B416)</f>
        <v>#VALUE!</v>
      </c>
      <c r="D416" t="e">
        <f>MID($F$2,calc!B416,calc!C416-calc!B416)</f>
        <v>#VALUE!</v>
      </c>
    </row>
    <row r="417" spans="2:4" ht="16.5" customHeight="1">
      <c r="B417" s="2" t="e">
        <f t="shared" si="7"/>
        <v>#VALUE!</v>
      </c>
      <c r="C417" t="e">
        <f>FIND(" ",SUBSTITUTE($F$2, CHAR(10), " "),calc!B417)</f>
        <v>#VALUE!</v>
      </c>
      <c r="D417" t="e">
        <f>MID($F$2,calc!B417,calc!C417-calc!B417)</f>
        <v>#VALUE!</v>
      </c>
    </row>
    <row r="418" spans="2:4" ht="16.5" customHeight="1">
      <c r="B418" s="2" t="e">
        <f t="shared" si="7"/>
        <v>#VALUE!</v>
      </c>
      <c r="C418" t="e">
        <f>FIND(" ",SUBSTITUTE($F$2, CHAR(10), " "),calc!B418)</f>
        <v>#VALUE!</v>
      </c>
      <c r="D418" t="e">
        <f>MID($F$2,calc!B418,calc!C418-calc!B418)</f>
        <v>#VALUE!</v>
      </c>
    </row>
    <row r="419" spans="2:4" ht="16.5" customHeight="1">
      <c r="B419" s="2" t="e">
        <f t="shared" si="7"/>
        <v>#VALUE!</v>
      </c>
      <c r="C419" t="e">
        <f>FIND(" ",SUBSTITUTE($F$2, CHAR(10), " "),calc!B419)</f>
        <v>#VALUE!</v>
      </c>
      <c r="D419" t="e">
        <f>MID($F$2,calc!B419,calc!C419-calc!B419)</f>
        <v>#VALUE!</v>
      </c>
    </row>
    <row r="420" spans="2:4" ht="16.5" customHeight="1">
      <c r="B420" s="2" t="e">
        <f t="shared" si="7"/>
        <v>#VALUE!</v>
      </c>
      <c r="C420" t="e">
        <f>FIND(" ",SUBSTITUTE($F$2, CHAR(10), " "),calc!B420)</f>
        <v>#VALUE!</v>
      </c>
      <c r="D420" t="e">
        <f>MID($F$2,calc!B420,calc!C420-calc!B420)</f>
        <v>#VALUE!</v>
      </c>
    </row>
    <row r="421" spans="2:4" ht="16.5" customHeight="1">
      <c r="B421" s="2" t="e">
        <f t="shared" si="7"/>
        <v>#VALUE!</v>
      </c>
      <c r="C421" t="e">
        <f>FIND(" ",SUBSTITUTE($F$2, CHAR(10), " "),calc!B421)</f>
        <v>#VALUE!</v>
      </c>
      <c r="D421" t="e">
        <f>MID($F$2,calc!B421,calc!C421-calc!B421)</f>
        <v>#VALUE!</v>
      </c>
    </row>
    <row r="422" spans="2:4" ht="16.5" customHeight="1">
      <c r="B422" s="2" t="e">
        <f t="shared" si="7"/>
        <v>#VALUE!</v>
      </c>
      <c r="C422" t="e">
        <f>FIND(" ",SUBSTITUTE($F$2, CHAR(10), " "),calc!B422)</f>
        <v>#VALUE!</v>
      </c>
      <c r="D422" t="e">
        <f>MID($F$2,calc!B422,calc!C422-calc!B422)</f>
        <v>#VALUE!</v>
      </c>
    </row>
    <row r="423" spans="2:4" ht="16.5" customHeight="1">
      <c r="B423" s="2" t="e">
        <f t="shared" si="7"/>
        <v>#VALUE!</v>
      </c>
      <c r="C423" t="e">
        <f>FIND(" ",SUBSTITUTE($F$2, CHAR(10), " "),calc!B423)</f>
        <v>#VALUE!</v>
      </c>
      <c r="D423" t="e">
        <f>MID($F$2,calc!B423,calc!C423-calc!B423)</f>
        <v>#VALUE!</v>
      </c>
    </row>
    <row r="424" spans="2:4" ht="16.5" customHeight="1">
      <c r="B424" s="2" t="e">
        <f t="shared" si="7"/>
        <v>#VALUE!</v>
      </c>
      <c r="C424" t="e">
        <f>FIND(" ",SUBSTITUTE($F$2, CHAR(10), " "),calc!B424)</f>
        <v>#VALUE!</v>
      </c>
      <c r="D424" t="e">
        <f>MID($F$2,calc!B424,calc!C424-calc!B424)</f>
        <v>#VALUE!</v>
      </c>
    </row>
    <row r="425" spans="2:4" ht="16.5" customHeight="1">
      <c r="B425" s="2" t="e">
        <f t="shared" si="7"/>
        <v>#VALUE!</v>
      </c>
      <c r="C425" t="e">
        <f>FIND(" ",SUBSTITUTE($F$2, CHAR(10), " "),calc!B425)</f>
        <v>#VALUE!</v>
      </c>
      <c r="D425" t="e">
        <f>MID($F$2,calc!B425,calc!C425-calc!B425)</f>
        <v>#VALUE!</v>
      </c>
    </row>
    <row r="426" spans="2:4" ht="16.5" customHeight="1">
      <c r="B426" s="2" t="e">
        <f t="shared" si="7"/>
        <v>#VALUE!</v>
      </c>
      <c r="C426" t="e">
        <f>FIND(" ",SUBSTITUTE($F$2, CHAR(10), " "),calc!B426)</f>
        <v>#VALUE!</v>
      </c>
      <c r="D426" t="e">
        <f>MID($F$2,calc!B426,calc!C426-calc!B426)</f>
        <v>#VALUE!</v>
      </c>
    </row>
    <row r="427" spans="2:4" ht="16.5" customHeight="1">
      <c r="B427" s="2" t="e">
        <f t="shared" si="7"/>
        <v>#VALUE!</v>
      </c>
      <c r="C427" t="e">
        <f>FIND(" ",SUBSTITUTE($F$2, CHAR(10), " "),calc!B427)</f>
        <v>#VALUE!</v>
      </c>
      <c r="D427" t="e">
        <f>MID($F$2,calc!B427,calc!C427-calc!B427)</f>
        <v>#VALUE!</v>
      </c>
    </row>
    <row r="428" spans="2:4" ht="16.5" customHeight="1">
      <c r="B428" s="2" t="e">
        <f t="shared" si="7"/>
        <v>#VALUE!</v>
      </c>
      <c r="C428" t="e">
        <f>FIND(" ",SUBSTITUTE($F$2, CHAR(10), " "),calc!B428)</f>
        <v>#VALUE!</v>
      </c>
      <c r="D428" t="e">
        <f>MID($F$2,calc!B428,calc!C428-calc!B428)</f>
        <v>#VALUE!</v>
      </c>
    </row>
    <row r="429" spans="2:4" ht="16.5" customHeight="1">
      <c r="B429" s="2" t="e">
        <f t="shared" si="7"/>
        <v>#VALUE!</v>
      </c>
      <c r="C429" t="e">
        <f>FIND(" ",SUBSTITUTE($F$2, CHAR(10), " "),calc!B429)</f>
        <v>#VALUE!</v>
      </c>
      <c r="D429" t="e">
        <f>MID($F$2,calc!B429,calc!C429-calc!B429)</f>
        <v>#VALUE!</v>
      </c>
    </row>
    <row r="430" spans="2:4" ht="16.5" customHeight="1">
      <c r="B430" s="2" t="e">
        <f t="shared" si="7"/>
        <v>#VALUE!</v>
      </c>
      <c r="C430" t="e">
        <f>FIND(" ",SUBSTITUTE($F$2, CHAR(10), " "),calc!B430)</f>
        <v>#VALUE!</v>
      </c>
      <c r="D430" t="e">
        <f>MID($F$2,calc!B430,calc!C430-calc!B430)</f>
        <v>#VALUE!</v>
      </c>
    </row>
    <row r="431" spans="2:4" ht="16.5" customHeight="1">
      <c r="B431" s="2" t="e">
        <f t="shared" si="7"/>
        <v>#VALUE!</v>
      </c>
      <c r="C431" t="e">
        <f>FIND(" ",SUBSTITUTE($F$2, CHAR(10), " "),calc!B431)</f>
        <v>#VALUE!</v>
      </c>
      <c r="D431" t="e">
        <f>MID($F$2,calc!B431,calc!C431-calc!B431)</f>
        <v>#VALUE!</v>
      </c>
    </row>
    <row r="432" spans="2:4" ht="16.5" customHeight="1">
      <c r="B432" s="2" t="e">
        <f t="shared" si="7"/>
        <v>#VALUE!</v>
      </c>
      <c r="C432" t="e">
        <f>FIND(" ",SUBSTITUTE($F$2, CHAR(10), " "),calc!B432)</f>
        <v>#VALUE!</v>
      </c>
      <c r="D432" t="e">
        <f>MID($F$2,calc!B432,calc!C432-calc!B432)</f>
        <v>#VALUE!</v>
      </c>
    </row>
    <row r="433" spans="2:4" ht="16.5" customHeight="1">
      <c r="B433" s="2" t="e">
        <f t="shared" si="7"/>
        <v>#VALUE!</v>
      </c>
      <c r="C433" t="e">
        <f>FIND(" ",SUBSTITUTE($F$2, CHAR(10), " "),calc!B433)</f>
        <v>#VALUE!</v>
      </c>
      <c r="D433" t="e">
        <f>MID($F$2,calc!B433,calc!C433-calc!B433)</f>
        <v>#VALUE!</v>
      </c>
    </row>
    <row r="434" spans="2:4" ht="16.5" customHeight="1">
      <c r="B434" s="2" t="e">
        <f t="shared" si="7"/>
        <v>#VALUE!</v>
      </c>
      <c r="C434" t="e">
        <f>FIND(" ",SUBSTITUTE($F$2, CHAR(10), " "),calc!B434)</f>
        <v>#VALUE!</v>
      </c>
      <c r="D434" t="e">
        <f>MID($F$2,calc!B434,calc!C434-calc!B434)</f>
        <v>#VALUE!</v>
      </c>
    </row>
    <row r="435" spans="2:4" ht="16.5" customHeight="1">
      <c r="B435" s="2" t="e">
        <f t="shared" si="7"/>
        <v>#VALUE!</v>
      </c>
      <c r="C435" t="e">
        <f>FIND(" ",SUBSTITUTE($F$2, CHAR(10), " "),calc!B435)</f>
        <v>#VALUE!</v>
      </c>
      <c r="D435" t="e">
        <f>MID($F$2,calc!B435,calc!C435-calc!B435)</f>
        <v>#VALUE!</v>
      </c>
    </row>
    <row r="436" spans="2:4" ht="16.5" customHeight="1">
      <c r="B436" s="2" t="e">
        <f t="shared" si="7"/>
        <v>#VALUE!</v>
      </c>
      <c r="C436" t="e">
        <f>FIND(" ",SUBSTITUTE($F$2, CHAR(10), " "),calc!B436)</f>
        <v>#VALUE!</v>
      </c>
      <c r="D436" t="e">
        <f>MID($F$2,calc!B436,calc!C436-calc!B436)</f>
        <v>#VALUE!</v>
      </c>
    </row>
    <row r="437" spans="2:4" ht="16.5" customHeight="1">
      <c r="B437" s="2" t="e">
        <f t="shared" si="7"/>
        <v>#VALUE!</v>
      </c>
      <c r="C437" t="e">
        <f>FIND(" ",SUBSTITUTE($F$2, CHAR(10), " "),calc!B437)</f>
        <v>#VALUE!</v>
      </c>
      <c r="D437" t="e">
        <f>MID($F$2,calc!B437,calc!C437-calc!B437)</f>
        <v>#VALUE!</v>
      </c>
    </row>
    <row r="438" spans="2:4" ht="16.5" customHeight="1">
      <c r="B438" s="2" t="e">
        <f t="shared" si="7"/>
        <v>#VALUE!</v>
      </c>
      <c r="C438" t="e">
        <f>FIND(" ",SUBSTITUTE($F$2, CHAR(10), " "),calc!B438)</f>
        <v>#VALUE!</v>
      </c>
      <c r="D438" t="e">
        <f>MID($F$2,calc!B438,calc!C438-calc!B438)</f>
        <v>#VALUE!</v>
      </c>
    </row>
    <row r="439" spans="2:4" ht="16.5" customHeight="1">
      <c r="B439" s="2" t="e">
        <f t="shared" si="7"/>
        <v>#VALUE!</v>
      </c>
      <c r="C439" t="e">
        <f>FIND(" ",SUBSTITUTE($F$2, CHAR(10), " "),calc!B439)</f>
        <v>#VALUE!</v>
      </c>
      <c r="D439" t="e">
        <f>MID($F$2,calc!B439,calc!C439-calc!B439)</f>
        <v>#VALUE!</v>
      </c>
    </row>
    <row r="440" spans="2:4" ht="16.5" customHeight="1">
      <c r="B440" s="2" t="e">
        <f t="shared" si="7"/>
        <v>#VALUE!</v>
      </c>
      <c r="C440" t="e">
        <f>FIND(" ",SUBSTITUTE($F$2, CHAR(10), " "),calc!B440)</f>
        <v>#VALUE!</v>
      </c>
      <c r="D440" t="e">
        <f>MID($F$2,calc!B440,calc!C440-calc!B440)</f>
        <v>#VALUE!</v>
      </c>
    </row>
    <row r="441" spans="2:4" ht="16.5" customHeight="1">
      <c r="B441" s="2" t="e">
        <f t="shared" si="7"/>
        <v>#VALUE!</v>
      </c>
      <c r="C441" t="e">
        <f>FIND(" ",SUBSTITUTE($F$2, CHAR(10), " "),calc!B441)</f>
        <v>#VALUE!</v>
      </c>
      <c r="D441" t="e">
        <f>MID($F$2,calc!B441,calc!C441-calc!B441)</f>
        <v>#VALUE!</v>
      </c>
    </row>
    <row r="442" spans="2:4" ht="16.5" customHeight="1">
      <c r="B442" s="2" t="e">
        <f t="shared" si="7"/>
        <v>#VALUE!</v>
      </c>
      <c r="C442" t="e">
        <f>FIND(" ",SUBSTITUTE($F$2, CHAR(10), " "),calc!B442)</f>
        <v>#VALUE!</v>
      </c>
      <c r="D442" t="e">
        <f>MID($F$2,calc!B442,calc!C442-calc!B442)</f>
        <v>#VALUE!</v>
      </c>
    </row>
    <row r="443" spans="2:4" ht="16.5" customHeight="1">
      <c r="B443" s="2" t="e">
        <f t="shared" si="7"/>
        <v>#VALUE!</v>
      </c>
      <c r="C443" t="e">
        <f>FIND(" ",SUBSTITUTE($F$2, CHAR(10), " "),calc!B443)</f>
        <v>#VALUE!</v>
      </c>
      <c r="D443" t="e">
        <f>MID($F$2,calc!B443,calc!C443-calc!B443)</f>
        <v>#VALUE!</v>
      </c>
    </row>
    <row r="444" spans="2:4" ht="16.5" customHeight="1">
      <c r="B444" s="2" t="e">
        <f t="shared" si="7"/>
        <v>#VALUE!</v>
      </c>
      <c r="C444" t="e">
        <f>FIND(" ",SUBSTITUTE($F$2, CHAR(10), " "),calc!B444)</f>
        <v>#VALUE!</v>
      </c>
      <c r="D444" t="e">
        <f>MID($F$2,calc!B444,calc!C444-calc!B444)</f>
        <v>#VALUE!</v>
      </c>
    </row>
    <row r="445" spans="2:4" ht="16.5" customHeight="1">
      <c r="B445" s="2" t="e">
        <f t="shared" si="7"/>
        <v>#VALUE!</v>
      </c>
      <c r="C445" t="e">
        <f>FIND(" ",SUBSTITUTE($F$2, CHAR(10), " "),calc!B445)</f>
        <v>#VALUE!</v>
      </c>
      <c r="D445" t="e">
        <f>MID($F$2,calc!B445,calc!C445-calc!B445)</f>
        <v>#VALUE!</v>
      </c>
    </row>
    <row r="446" spans="2:4" ht="16.5" customHeight="1">
      <c r="B446" s="2" t="e">
        <f t="shared" si="7"/>
        <v>#VALUE!</v>
      </c>
      <c r="C446" t="e">
        <f>FIND(" ",SUBSTITUTE($F$2, CHAR(10), " "),calc!B446)</f>
        <v>#VALUE!</v>
      </c>
      <c r="D446" t="e">
        <f>MID($F$2,calc!B446,calc!C446-calc!B446)</f>
        <v>#VALUE!</v>
      </c>
    </row>
    <row r="447" spans="2:4" ht="16.5" customHeight="1">
      <c r="B447" s="2" t="e">
        <f t="shared" si="7"/>
        <v>#VALUE!</v>
      </c>
      <c r="C447" t="e">
        <f>FIND(" ",SUBSTITUTE($F$2, CHAR(10), " "),calc!B447)</f>
        <v>#VALUE!</v>
      </c>
      <c r="D447" t="e">
        <f>MID($F$2,calc!B447,calc!C447-calc!B447)</f>
        <v>#VALUE!</v>
      </c>
    </row>
    <row r="448" spans="2:4" ht="16.5" customHeight="1">
      <c r="B448" s="2" t="e">
        <f t="shared" si="7"/>
        <v>#VALUE!</v>
      </c>
      <c r="C448" t="e">
        <f>FIND(" ",SUBSTITUTE($F$2, CHAR(10), " "),calc!B448)</f>
        <v>#VALUE!</v>
      </c>
      <c r="D448" t="e">
        <f>MID($F$2,calc!B448,calc!C448-calc!B448)</f>
        <v>#VALUE!</v>
      </c>
    </row>
    <row r="449" spans="2:4" ht="16.5" customHeight="1">
      <c r="B449" s="2" t="e">
        <f t="shared" si="7"/>
        <v>#VALUE!</v>
      </c>
      <c r="C449" t="e">
        <f>FIND(" ",SUBSTITUTE($F$2, CHAR(10), " "),calc!B449)</f>
        <v>#VALUE!</v>
      </c>
      <c r="D449" t="e">
        <f>MID($F$2,calc!B449,calc!C449-calc!B449)</f>
        <v>#VALUE!</v>
      </c>
    </row>
    <row r="450" spans="2:4" ht="16.5" customHeight="1">
      <c r="B450" s="2" t="e">
        <f t="shared" si="7"/>
        <v>#VALUE!</v>
      </c>
      <c r="C450" t="e">
        <f>FIND(" ",SUBSTITUTE($F$2, CHAR(10), " "),calc!B450)</f>
        <v>#VALUE!</v>
      </c>
      <c r="D450" t="e">
        <f>MID($F$2,calc!B450,calc!C450-calc!B450)</f>
        <v>#VALUE!</v>
      </c>
    </row>
    <row r="451" spans="2:4" ht="16.5" customHeight="1">
      <c r="B451" s="2" t="e">
        <f t="shared" ref="B451:B514" si="8">FIND("#", $F$2, B450 +1)</f>
        <v>#VALUE!</v>
      </c>
      <c r="C451" t="e">
        <f>FIND(" ",SUBSTITUTE($F$2, CHAR(10), " "),calc!B451)</f>
        <v>#VALUE!</v>
      </c>
      <c r="D451" t="e">
        <f>MID($F$2,calc!B451,calc!C451-calc!B451)</f>
        <v>#VALUE!</v>
      </c>
    </row>
    <row r="452" spans="2:4" ht="16.5" customHeight="1">
      <c r="B452" s="2" t="e">
        <f t="shared" si="8"/>
        <v>#VALUE!</v>
      </c>
      <c r="C452" t="e">
        <f>FIND(" ",SUBSTITUTE($F$2, CHAR(10), " "),calc!B452)</f>
        <v>#VALUE!</v>
      </c>
      <c r="D452" t="e">
        <f>MID($F$2,calc!B452,calc!C452-calc!B452)</f>
        <v>#VALUE!</v>
      </c>
    </row>
    <row r="453" spans="2:4" ht="16.5" customHeight="1">
      <c r="B453" s="2" t="e">
        <f t="shared" si="8"/>
        <v>#VALUE!</v>
      </c>
      <c r="C453" t="e">
        <f>FIND(" ",SUBSTITUTE($F$2, CHAR(10), " "),calc!B453)</f>
        <v>#VALUE!</v>
      </c>
      <c r="D453" t="e">
        <f>MID($F$2,calc!B453,calc!C453-calc!B453)</f>
        <v>#VALUE!</v>
      </c>
    </row>
    <row r="454" spans="2:4" ht="16.5" customHeight="1">
      <c r="B454" s="2" t="e">
        <f t="shared" si="8"/>
        <v>#VALUE!</v>
      </c>
      <c r="C454" t="e">
        <f>FIND(" ",SUBSTITUTE($F$2, CHAR(10), " "),calc!B454)</f>
        <v>#VALUE!</v>
      </c>
      <c r="D454" t="e">
        <f>MID($F$2,calc!B454,calc!C454-calc!B454)</f>
        <v>#VALUE!</v>
      </c>
    </row>
    <row r="455" spans="2:4" ht="16.5" customHeight="1">
      <c r="B455" s="2" t="e">
        <f t="shared" si="8"/>
        <v>#VALUE!</v>
      </c>
      <c r="C455" t="e">
        <f>FIND(" ",SUBSTITUTE($F$2, CHAR(10), " "),calc!B455)</f>
        <v>#VALUE!</v>
      </c>
      <c r="D455" t="e">
        <f>MID($F$2,calc!B455,calc!C455-calc!B455)</f>
        <v>#VALUE!</v>
      </c>
    </row>
    <row r="456" spans="2:4" ht="16.5" customHeight="1">
      <c r="B456" s="2" t="e">
        <f t="shared" si="8"/>
        <v>#VALUE!</v>
      </c>
      <c r="C456" t="e">
        <f>FIND(" ",SUBSTITUTE($F$2, CHAR(10), " "),calc!B456)</f>
        <v>#VALUE!</v>
      </c>
      <c r="D456" t="e">
        <f>MID($F$2,calc!B456,calc!C456-calc!B456)</f>
        <v>#VALUE!</v>
      </c>
    </row>
    <row r="457" spans="2:4" ht="16.5" customHeight="1">
      <c r="B457" s="2" t="e">
        <f t="shared" si="8"/>
        <v>#VALUE!</v>
      </c>
      <c r="C457" t="e">
        <f>FIND(" ",SUBSTITUTE($F$2, CHAR(10), " "),calc!B457)</f>
        <v>#VALUE!</v>
      </c>
      <c r="D457" t="e">
        <f>MID($F$2,calc!B457,calc!C457-calc!B457)</f>
        <v>#VALUE!</v>
      </c>
    </row>
    <row r="458" spans="2:4" ht="16.5" customHeight="1">
      <c r="B458" s="2" t="e">
        <f t="shared" si="8"/>
        <v>#VALUE!</v>
      </c>
      <c r="C458" t="e">
        <f>FIND(" ",SUBSTITUTE($F$2, CHAR(10), " "),calc!B458)</f>
        <v>#VALUE!</v>
      </c>
      <c r="D458" t="e">
        <f>MID($F$2,calc!B458,calc!C458-calc!B458)</f>
        <v>#VALUE!</v>
      </c>
    </row>
    <row r="459" spans="2:4" ht="16.5" customHeight="1">
      <c r="B459" s="2" t="e">
        <f t="shared" si="8"/>
        <v>#VALUE!</v>
      </c>
      <c r="C459" t="e">
        <f>FIND(" ",SUBSTITUTE($F$2, CHAR(10), " "),calc!B459)</f>
        <v>#VALUE!</v>
      </c>
      <c r="D459" t="e">
        <f>MID($F$2,calc!B459,calc!C459-calc!B459)</f>
        <v>#VALUE!</v>
      </c>
    </row>
    <row r="460" spans="2:4" ht="16.5" customHeight="1">
      <c r="B460" s="2" t="e">
        <f t="shared" si="8"/>
        <v>#VALUE!</v>
      </c>
      <c r="C460" t="e">
        <f>FIND(" ",SUBSTITUTE($F$2, CHAR(10), " "),calc!B460)</f>
        <v>#VALUE!</v>
      </c>
      <c r="D460" t="e">
        <f>MID($F$2,calc!B460,calc!C460-calc!B460)</f>
        <v>#VALUE!</v>
      </c>
    </row>
    <row r="461" spans="2:4" ht="16.5" customHeight="1">
      <c r="B461" s="2" t="e">
        <f t="shared" si="8"/>
        <v>#VALUE!</v>
      </c>
      <c r="C461" t="e">
        <f>FIND(" ",SUBSTITUTE($F$2, CHAR(10), " "),calc!B461)</f>
        <v>#VALUE!</v>
      </c>
      <c r="D461" t="e">
        <f>MID($F$2,calc!B461,calc!C461-calc!B461)</f>
        <v>#VALUE!</v>
      </c>
    </row>
    <row r="462" spans="2:4" ht="16.5" customHeight="1">
      <c r="B462" s="2" t="e">
        <f t="shared" si="8"/>
        <v>#VALUE!</v>
      </c>
      <c r="C462" t="e">
        <f>FIND(" ",SUBSTITUTE($F$2, CHAR(10), " "),calc!B462)</f>
        <v>#VALUE!</v>
      </c>
      <c r="D462" t="e">
        <f>MID($F$2,calc!B462,calc!C462-calc!B462)</f>
        <v>#VALUE!</v>
      </c>
    </row>
    <row r="463" spans="2:4" ht="16.5" customHeight="1">
      <c r="B463" s="2" t="e">
        <f t="shared" si="8"/>
        <v>#VALUE!</v>
      </c>
      <c r="C463" t="e">
        <f>FIND(" ",SUBSTITUTE($F$2, CHAR(10), " "),calc!B463)</f>
        <v>#VALUE!</v>
      </c>
      <c r="D463" t="e">
        <f>MID($F$2,calc!B463,calc!C463-calc!B463)</f>
        <v>#VALUE!</v>
      </c>
    </row>
    <row r="464" spans="2:4" ht="16.5" customHeight="1">
      <c r="B464" s="2" t="e">
        <f t="shared" si="8"/>
        <v>#VALUE!</v>
      </c>
      <c r="C464" t="e">
        <f>FIND(" ",SUBSTITUTE($F$2, CHAR(10), " "),calc!B464)</f>
        <v>#VALUE!</v>
      </c>
      <c r="D464" t="e">
        <f>MID($F$2,calc!B464,calc!C464-calc!B464)</f>
        <v>#VALUE!</v>
      </c>
    </row>
    <row r="465" spans="2:4" ht="16.5" customHeight="1">
      <c r="B465" s="2" t="e">
        <f t="shared" si="8"/>
        <v>#VALUE!</v>
      </c>
      <c r="C465" t="e">
        <f>FIND(" ",SUBSTITUTE($F$2, CHAR(10), " "),calc!B465)</f>
        <v>#VALUE!</v>
      </c>
      <c r="D465" t="e">
        <f>MID($F$2,calc!B465,calc!C465-calc!B465)</f>
        <v>#VALUE!</v>
      </c>
    </row>
    <row r="466" spans="2:4" ht="16.5" customHeight="1">
      <c r="B466" s="2" t="e">
        <f t="shared" si="8"/>
        <v>#VALUE!</v>
      </c>
      <c r="C466" t="e">
        <f>FIND(" ",SUBSTITUTE($F$2, CHAR(10), " "),calc!B466)</f>
        <v>#VALUE!</v>
      </c>
      <c r="D466" t="e">
        <f>MID($F$2,calc!B466,calc!C466-calc!B466)</f>
        <v>#VALUE!</v>
      </c>
    </row>
    <row r="467" spans="2:4" ht="16.5" customHeight="1">
      <c r="B467" s="2" t="e">
        <f t="shared" si="8"/>
        <v>#VALUE!</v>
      </c>
      <c r="C467" t="e">
        <f>FIND(" ",SUBSTITUTE($F$2, CHAR(10), " "),calc!B467)</f>
        <v>#VALUE!</v>
      </c>
      <c r="D467" t="e">
        <f>MID($F$2,calc!B467,calc!C467-calc!B467)</f>
        <v>#VALUE!</v>
      </c>
    </row>
    <row r="468" spans="2:4" ht="16.5" customHeight="1">
      <c r="B468" s="2" t="e">
        <f t="shared" si="8"/>
        <v>#VALUE!</v>
      </c>
      <c r="C468" t="e">
        <f>FIND(" ",SUBSTITUTE($F$2, CHAR(10), " "),calc!B468)</f>
        <v>#VALUE!</v>
      </c>
      <c r="D468" t="e">
        <f>MID($F$2,calc!B468,calc!C468-calc!B468)</f>
        <v>#VALUE!</v>
      </c>
    </row>
    <row r="469" spans="2:4" ht="16.5" customHeight="1">
      <c r="B469" s="2" t="e">
        <f t="shared" si="8"/>
        <v>#VALUE!</v>
      </c>
      <c r="C469" t="e">
        <f>FIND(" ",SUBSTITUTE($F$2, CHAR(10), " "),calc!B469)</f>
        <v>#VALUE!</v>
      </c>
      <c r="D469" t="e">
        <f>MID($F$2,calc!B469,calc!C469-calc!B469)</f>
        <v>#VALUE!</v>
      </c>
    </row>
    <row r="470" spans="2:4" ht="16.5" customHeight="1">
      <c r="B470" s="2" t="e">
        <f t="shared" si="8"/>
        <v>#VALUE!</v>
      </c>
      <c r="C470" t="e">
        <f>FIND(" ",SUBSTITUTE($F$2, CHAR(10), " "),calc!B470)</f>
        <v>#VALUE!</v>
      </c>
      <c r="D470" t="e">
        <f>MID($F$2,calc!B470,calc!C470-calc!B470)</f>
        <v>#VALUE!</v>
      </c>
    </row>
    <row r="471" spans="2:4" ht="16.5" customHeight="1">
      <c r="B471" s="2" t="e">
        <f t="shared" si="8"/>
        <v>#VALUE!</v>
      </c>
      <c r="C471" t="e">
        <f>FIND(" ",SUBSTITUTE($F$2, CHAR(10), " "),calc!B471)</f>
        <v>#VALUE!</v>
      </c>
      <c r="D471" t="e">
        <f>MID($F$2,calc!B471,calc!C471-calc!B471)</f>
        <v>#VALUE!</v>
      </c>
    </row>
    <row r="472" spans="2:4" ht="16.5" customHeight="1">
      <c r="B472" s="2" t="e">
        <f t="shared" si="8"/>
        <v>#VALUE!</v>
      </c>
      <c r="C472" t="e">
        <f>FIND(" ",SUBSTITUTE($F$2, CHAR(10), " "),calc!B472)</f>
        <v>#VALUE!</v>
      </c>
      <c r="D472" t="e">
        <f>MID($F$2,calc!B472,calc!C472-calc!B472)</f>
        <v>#VALUE!</v>
      </c>
    </row>
    <row r="473" spans="2:4" ht="16.5" customHeight="1">
      <c r="B473" s="2" t="e">
        <f t="shared" si="8"/>
        <v>#VALUE!</v>
      </c>
      <c r="C473" t="e">
        <f>FIND(" ",SUBSTITUTE($F$2, CHAR(10), " "),calc!B473)</f>
        <v>#VALUE!</v>
      </c>
      <c r="D473" t="e">
        <f>MID($F$2,calc!B473,calc!C473-calc!B473)</f>
        <v>#VALUE!</v>
      </c>
    </row>
    <row r="474" spans="2:4" ht="16.5" customHeight="1">
      <c r="B474" s="2" t="e">
        <f t="shared" si="8"/>
        <v>#VALUE!</v>
      </c>
      <c r="C474" t="e">
        <f>FIND(" ",SUBSTITUTE($F$2, CHAR(10), " "),calc!B474)</f>
        <v>#VALUE!</v>
      </c>
      <c r="D474" t="e">
        <f>MID($F$2,calc!B474,calc!C474-calc!B474)</f>
        <v>#VALUE!</v>
      </c>
    </row>
    <row r="475" spans="2:4" ht="16.5" customHeight="1">
      <c r="B475" s="2" t="e">
        <f t="shared" si="8"/>
        <v>#VALUE!</v>
      </c>
      <c r="C475" t="e">
        <f>FIND(" ",SUBSTITUTE($F$2, CHAR(10), " "),calc!B475)</f>
        <v>#VALUE!</v>
      </c>
      <c r="D475" t="e">
        <f>MID($F$2,calc!B475,calc!C475-calc!B475)</f>
        <v>#VALUE!</v>
      </c>
    </row>
    <row r="476" spans="2:4" ht="16.5" customHeight="1">
      <c r="B476" s="2" t="e">
        <f t="shared" si="8"/>
        <v>#VALUE!</v>
      </c>
      <c r="C476" t="e">
        <f>FIND(" ",SUBSTITUTE($F$2, CHAR(10), " "),calc!B476)</f>
        <v>#VALUE!</v>
      </c>
      <c r="D476" t="e">
        <f>MID($F$2,calc!B476,calc!C476-calc!B476)</f>
        <v>#VALUE!</v>
      </c>
    </row>
    <row r="477" spans="2:4" ht="16.5" customHeight="1">
      <c r="B477" s="2" t="e">
        <f t="shared" si="8"/>
        <v>#VALUE!</v>
      </c>
      <c r="C477" t="e">
        <f>FIND(" ",SUBSTITUTE($F$2, CHAR(10), " "),calc!B477)</f>
        <v>#VALUE!</v>
      </c>
      <c r="D477" t="e">
        <f>MID($F$2,calc!B477,calc!C477-calc!B477)</f>
        <v>#VALUE!</v>
      </c>
    </row>
    <row r="478" spans="2:4" ht="16.5" customHeight="1">
      <c r="B478" s="2" t="e">
        <f t="shared" si="8"/>
        <v>#VALUE!</v>
      </c>
      <c r="C478" t="e">
        <f>FIND(" ",SUBSTITUTE($F$2, CHAR(10), " "),calc!B478)</f>
        <v>#VALUE!</v>
      </c>
      <c r="D478" t="e">
        <f>MID($F$2,calc!B478,calc!C478-calc!B478)</f>
        <v>#VALUE!</v>
      </c>
    </row>
    <row r="479" spans="2:4" ht="16.5" customHeight="1">
      <c r="B479" s="2" t="e">
        <f t="shared" si="8"/>
        <v>#VALUE!</v>
      </c>
      <c r="C479" t="e">
        <f>FIND(" ",SUBSTITUTE($F$2, CHAR(10), " "),calc!B479)</f>
        <v>#VALUE!</v>
      </c>
      <c r="D479" t="e">
        <f>MID($F$2,calc!B479,calc!C479-calc!B479)</f>
        <v>#VALUE!</v>
      </c>
    </row>
    <row r="480" spans="2:4" ht="16.5" customHeight="1">
      <c r="B480" s="2" t="e">
        <f t="shared" si="8"/>
        <v>#VALUE!</v>
      </c>
      <c r="C480" t="e">
        <f>FIND(" ",SUBSTITUTE($F$2, CHAR(10), " "),calc!B480)</f>
        <v>#VALUE!</v>
      </c>
      <c r="D480" t="e">
        <f>MID($F$2,calc!B480,calc!C480-calc!B480)</f>
        <v>#VALUE!</v>
      </c>
    </row>
    <row r="481" spans="2:4" ht="16.5" customHeight="1">
      <c r="B481" s="2" t="e">
        <f t="shared" si="8"/>
        <v>#VALUE!</v>
      </c>
      <c r="C481" t="e">
        <f>FIND(" ",SUBSTITUTE($F$2, CHAR(10), " "),calc!B481)</f>
        <v>#VALUE!</v>
      </c>
      <c r="D481" t="e">
        <f>MID($F$2,calc!B481,calc!C481-calc!B481)</f>
        <v>#VALUE!</v>
      </c>
    </row>
    <row r="482" spans="2:4" ht="16.5" customHeight="1">
      <c r="B482" s="2" t="e">
        <f t="shared" si="8"/>
        <v>#VALUE!</v>
      </c>
      <c r="C482" t="e">
        <f>FIND(" ",SUBSTITUTE($F$2, CHAR(10), " "),calc!B482)</f>
        <v>#VALUE!</v>
      </c>
      <c r="D482" t="e">
        <f>MID($F$2,calc!B482,calc!C482-calc!B482)</f>
        <v>#VALUE!</v>
      </c>
    </row>
    <row r="483" spans="2:4" ht="16.5" customHeight="1">
      <c r="B483" s="2" t="e">
        <f t="shared" si="8"/>
        <v>#VALUE!</v>
      </c>
      <c r="C483" t="e">
        <f>FIND(" ",SUBSTITUTE($F$2, CHAR(10), " "),calc!B483)</f>
        <v>#VALUE!</v>
      </c>
      <c r="D483" t="e">
        <f>MID($F$2,calc!B483,calc!C483-calc!B483)</f>
        <v>#VALUE!</v>
      </c>
    </row>
    <row r="484" spans="2:4" ht="16.5" customHeight="1">
      <c r="B484" s="2" t="e">
        <f t="shared" si="8"/>
        <v>#VALUE!</v>
      </c>
      <c r="C484" t="e">
        <f>FIND(" ",SUBSTITUTE($F$2, CHAR(10), " "),calc!B484)</f>
        <v>#VALUE!</v>
      </c>
      <c r="D484" t="e">
        <f>MID($F$2,calc!B484,calc!C484-calc!B484)</f>
        <v>#VALUE!</v>
      </c>
    </row>
    <row r="485" spans="2:4" ht="16.5" customHeight="1">
      <c r="B485" s="2" t="e">
        <f t="shared" si="8"/>
        <v>#VALUE!</v>
      </c>
      <c r="C485" t="e">
        <f>FIND(" ",SUBSTITUTE($F$2, CHAR(10), " "),calc!B485)</f>
        <v>#VALUE!</v>
      </c>
      <c r="D485" t="e">
        <f>MID($F$2,calc!B485,calc!C485-calc!B485)</f>
        <v>#VALUE!</v>
      </c>
    </row>
    <row r="486" spans="2:4" ht="16.5" customHeight="1">
      <c r="B486" s="2" t="e">
        <f t="shared" si="8"/>
        <v>#VALUE!</v>
      </c>
      <c r="C486" t="e">
        <f>FIND(" ",SUBSTITUTE($F$2, CHAR(10), " "),calc!B486)</f>
        <v>#VALUE!</v>
      </c>
      <c r="D486" t="e">
        <f>MID($F$2,calc!B486,calc!C486-calc!B486)</f>
        <v>#VALUE!</v>
      </c>
    </row>
    <row r="487" spans="2:4" ht="16.5" customHeight="1">
      <c r="B487" s="2" t="e">
        <f t="shared" si="8"/>
        <v>#VALUE!</v>
      </c>
      <c r="C487" t="e">
        <f>FIND(" ",SUBSTITUTE($F$2, CHAR(10), " "),calc!B487)</f>
        <v>#VALUE!</v>
      </c>
      <c r="D487" t="e">
        <f>MID($F$2,calc!B487,calc!C487-calc!B487)</f>
        <v>#VALUE!</v>
      </c>
    </row>
    <row r="488" spans="2:4" ht="16.5" customHeight="1">
      <c r="B488" s="2" t="e">
        <f t="shared" si="8"/>
        <v>#VALUE!</v>
      </c>
      <c r="C488" t="e">
        <f>FIND(" ",SUBSTITUTE($F$2, CHAR(10), " "),calc!B488)</f>
        <v>#VALUE!</v>
      </c>
      <c r="D488" t="e">
        <f>MID($F$2,calc!B488,calc!C488-calc!B488)</f>
        <v>#VALUE!</v>
      </c>
    </row>
    <row r="489" spans="2:4" ht="16.5" customHeight="1">
      <c r="B489" s="2" t="e">
        <f t="shared" si="8"/>
        <v>#VALUE!</v>
      </c>
      <c r="C489" t="e">
        <f>FIND(" ",SUBSTITUTE($F$2, CHAR(10), " "),calc!B489)</f>
        <v>#VALUE!</v>
      </c>
      <c r="D489" t="e">
        <f>MID($F$2,calc!B489,calc!C489-calc!B489)</f>
        <v>#VALUE!</v>
      </c>
    </row>
    <row r="490" spans="2:4" ht="16.5" customHeight="1">
      <c r="B490" s="2" t="e">
        <f t="shared" si="8"/>
        <v>#VALUE!</v>
      </c>
      <c r="C490" t="e">
        <f>FIND(" ",SUBSTITUTE($F$2, CHAR(10), " "),calc!B490)</f>
        <v>#VALUE!</v>
      </c>
      <c r="D490" t="e">
        <f>MID($F$2,calc!B490,calc!C490-calc!B490)</f>
        <v>#VALUE!</v>
      </c>
    </row>
    <row r="491" spans="2:4" ht="16.5" customHeight="1">
      <c r="B491" s="2" t="e">
        <f t="shared" si="8"/>
        <v>#VALUE!</v>
      </c>
      <c r="C491" t="e">
        <f>FIND(" ",SUBSTITUTE($F$2, CHAR(10), " "),calc!B491)</f>
        <v>#VALUE!</v>
      </c>
      <c r="D491" t="e">
        <f>MID($F$2,calc!B491,calc!C491-calc!B491)</f>
        <v>#VALUE!</v>
      </c>
    </row>
    <row r="492" spans="2:4" ht="16.5" customHeight="1">
      <c r="B492" s="2" t="e">
        <f t="shared" si="8"/>
        <v>#VALUE!</v>
      </c>
      <c r="C492" t="e">
        <f>FIND(" ",SUBSTITUTE($F$2, CHAR(10), " "),calc!B492)</f>
        <v>#VALUE!</v>
      </c>
      <c r="D492" t="e">
        <f>MID($F$2,calc!B492,calc!C492-calc!B492)</f>
        <v>#VALUE!</v>
      </c>
    </row>
    <row r="493" spans="2:4" ht="16.5" customHeight="1">
      <c r="B493" s="2" t="e">
        <f t="shared" si="8"/>
        <v>#VALUE!</v>
      </c>
      <c r="C493" t="e">
        <f>FIND(" ",SUBSTITUTE($F$2, CHAR(10), " "),calc!B493)</f>
        <v>#VALUE!</v>
      </c>
      <c r="D493" t="e">
        <f>MID($F$2,calc!B493,calc!C493-calc!B493)</f>
        <v>#VALUE!</v>
      </c>
    </row>
    <row r="494" spans="2:4" ht="16.5" customHeight="1">
      <c r="B494" s="2" t="e">
        <f t="shared" si="8"/>
        <v>#VALUE!</v>
      </c>
      <c r="C494" t="e">
        <f>FIND(" ",SUBSTITUTE($F$2, CHAR(10), " "),calc!B494)</f>
        <v>#VALUE!</v>
      </c>
      <c r="D494" t="e">
        <f>MID($F$2,calc!B494,calc!C494-calc!B494)</f>
        <v>#VALUE!</v>
      </c>
    </row>
    <row r="495" spans="2:4" ht="16.5" customHeight="1">
      <c r="B495" s="2" t="e">
        <f t="shared" si="8"/>
        <v>#VALUE!</v>
      </c>
      <c r="C495" t="e">
        <f>FIND(" ",SUBSTITUTE($F$2, CHAR(10), " "),calc!B495)</f>
        <v>#VALUE!</v>
      </c>
      <c r="D495" t="e">
        <f>MID($F$2,calc!B495,calc!C495-calc!B495)</f>
        <v>#VALUE!</v>
      </c>
    </row>
    <row r="496" spans="2:4" ht="16.5" customHeight="1">
      <c r="B496" s="2" t="e">
        <f t="shared" si="8"/>
        <v>#VALUE!</v>
      </c>
      <c r="C496" t="e">
        <f>FIND(" ",SUBSTITUTE($F$2, CHAR(10), " "),calc!B496)</f>
        <v>#VALUE!</v>
      </c>
      <c r="D496" t="e">
        <f>MID($F$2,calc!B496,calc!C496-calc!B496)</f>
        <v>#VALUE!</v>
      </c>
    </row>
    <row r="497" spans="2:4" ht="16.5" customHeight="1">
      <c r="B497" s="2" t="e">
        <f t="shared" si="8"/>
        <v>#VALUE!</v>
      </c>
      <c r="C497" t="e">
        <f>FIND(" ",SUBSTITUTE($F$2, CHAR(10), " "),calc!B497)</f>
        <v>#VALUE!</v>
      </c>
      <c r="D497" t="e">
        <f>MID($F$2,calc!B497,calc!C497-calc!B497)</f>
        <v>#VALUE!</v>
      </c>
    </row>
    <row r="498" spans="2:4" ht="16.5" customHeight="1">
      <c r="B498" s="2" t="e">
        <f t="shared" si="8"/>
        <v>#VALUE!</v>
      </c>
      <c r="C498" t="e">
        <f>FIND(" ",SUBSTITUTE($F$2, CHAR(10), " "),calc!B498)</f>
        <v>#VALUE!</v>
      </c>
      <c r="D498" t="e">
        <f>MID($F$2,calc!B498,calc!C498-calc!B498)</f>
        <v>#VALUE!</v>
      </c>
    </row>
    <row r="499" spans="2:4" ht="16.5" customHeight="1">
      <c r="B499" s="2" t="e">
        <f t="shared" si="8"/>
        <v>#VALUE!</v>
      </c>
      <c r="C499" t="e">
        <f>FIND(" ",SUBSTITUTE($F$2, CHAR(10), " "),calc!B499)</f>
        <v>#VALUE!</v>
      </c>
      <c r="D499" t="e">
        <f>MID($F$2,calc!B499,calc!C499-calc!B499)</f>
        <v>#VALUE!</v>
      </c>
    </row>
    <row r="500" spans="2:4" ht="16.5" customHeight="1">
      <c r="B500" s="2" t="e">
        <f t="shared" si="8"/>
        <v>#VALUE!</v>
      </c>
      <c r="C500" t="e">
        <f>FIND(" ",SUBSTITUTE($F$2, CHAR(10), " "),calc!B500)</f>
        <v>#VALUE!</v>
      </c>
      <c r="D500" t="e">
        <f>MID($F$2,calc!B500,calc!C500-calc!B500)</f>
        <v>#VALUE!</v>
      </c>
    </row>
    <row r="501" spans="2:4" ht="16.5" customHeight="1">
      <c r="B501" s="2" t="e">
        <f t="shared" si="8"/>
        <v>#VALUE!</v>
      </c>
      <c r="C501" t="e">
        <f>FIND(" ",SUBSTITUTE($F$2, CHAR(10), " "),calc!B501)</f>
        <v>#VALUE!</v>
      </c>
      <c r="D501" t="e">
        <f>MID($F$2,calc!B501,calc!C501-calc!B501)</f>
        <v>#VALUE!</v>
      </c>
    </row>
    <row r="502" spans="2:4" ht="16.5" customHeight="1">
      <c r="B502" s="2" t="e">
        <f t="shared" si="8"/>
        <v>#VALUE!</v>
      </c>
      <c r="C502" t="e">
        <f>FIND(" ",SUBSTITUTE($F$2, CHAR(10), " "),calc!B502)</f>
        <v>#VALUE!</v>
      </c>
      <c r="D502" t="e">
        <f>MID($F$2,calc!B502,calc!C502-calc!B502)</f>
        <v>#VALUE!</v>
      </c>
    </row>
    <row r="503" spans="2:4" ht="16.5" customHeight="1">
      <c r="B503" s="2" t="e">
        <f t="shared" si="8"/>
        <v>#VALUE!</v>
      </c>
      <c r="C503" t="e">
        <f>FIND(" ",SUBSTITUTE($F$2, CHAR(10), " "),calc!B503)</f>
        <v>#VALUE!</v>
      </c>
      <c r="D503" t="e">
        <f>MID($F$2,calc!B503,calc!C503-calc!B503)</f>
        <v>#VALUE!</v>
      </c>
    </row>
    <row r="504" spans="2:4" ht="16.5" customHeight="1">
      <c r="B504" s="2" t="e">
        <f t="shared" si="8"/>
        <v>#VALUE!</v>
      </c>
      <c r="C504" t="e">
        <f>FIND(" ",SUBSTITUTE($F$2, CHAR(10), " "),calc!B504)</f>
        <v>#VALUE!</v>
      </c>
      <c r="D504" t="e">
        <f>MID($F$2,calc!B504,calc!C504-calc!B504)</f>
        <v>#VALUE!</v>
      </c>
    </row>
    <row r="505" spans="2:4" ht="16.5" customHeight="1">
      <c r="B505" s="2" t="e">
        <f t="shared" si="8"/>
        <v>#VALUE!</v>
      </c>
      <c r="C505" t="e">
        <f>FIND(" ",SUBSTITUTE($F$2, CHAR(10), " "),calc!B505)</f>
        <v>#VALUE!</v>
      </c>
      <c r="D505" t="e">
        <f>MID($F$2,calc!B505,calc!C505-calc!B505)</f>
        <v>#VALUE!</v>
      </c>
    </row>
    <row r="506" spans="2:4" ht="16.5" customHeight="1">
      <c r="B506" s="2" t="e">
        <f t="shared" si="8"/>
        <v>#VALUE!</v>
      </c>
      <c r="C506" t="e">
        <f>FIND(" ",SUBSTITUTE($F$2, CHAR(10), " "),calc!B506)</f>
        <v>#VALUE!</v>
      </c>
      <c r="D506" t="e">
        <f>MID($F$2,calc!B506,calc!C506-calc!B506)</f>
        <v>#VALUE!</v>
      </c>
    </row>
    <row r="507" spans="2:4" ht="16.5" customHeight="1">
      <c r="B507" s="2" t="e">
        <f t="shared" si="8"/>
        <v>#VALUE!</v>
      </c>
      <c r="C507" t="e">
        <f>FIND(" ",SUBSTITUTE($F$2, CHAR(10), " "),calc!B507)</f>
        <v>#VALUE!</v>
      </c>
      <c r="D507" t="e">
        <f>MID($F$2,calc!B507,calc!C507-calc!B507)</f>
        <v>#VALUE!</v>
      </c>
    </row>
    <row r="508" spans="2:4" ht="16.5" customHeight="1">
      <c r="B508" s="2" t="e">
        <f t="shared" si="8"/>
        <v>#VALUE!</v>
      </c>
      <c r="C508" t="e">
        <f>FIND(" ",SUBSTITUTE($F$2, CHAR(10), " "),calc!B508)</f>
        <v>#VALUE!</v>
      </c>
      <c r="D508" t="e">
        <f>MID($F$2,calc!B508,calc!C508-calc!B508)</f>
        <v>#VALUE!</v>
      </c>
    </row>
    <row r="509" spans="2:4" ht="16.5" customHeight="1">
      <c r="B509" s="2" t="e">
        <f t="shared" si="8"/>
        <v>#VALUE!</v>
      </c>
      <c r="C509" t="e">
        <f>FIND(" ",SUBSTITUTE($F$2, CHAR(10), " "),calc!B509)</f>
        <v>#VALUE!</v>
      </c>
      <c r="D509" t="e">
        <f>MID($F$2,calc!B509,calc!C509-calc!B509)</f>
        <v>#VALUE!</v>
      </c>
    </row>
    <row r="510" spans="2:4" ht="16.5" customHeight="1">
      <c r="B510" s="2" t="e">
        <f t="shared" si="8"/>
        <v>#VALUE!</v>
      </c>
      <c r="C510" t="e">
        <f>FIND(" ",SUBSTITUTE($F$2, CHAR(10), " "),calc!B510)</f>
        <v>#VALUE!</v>
      </c>
      <c r="D510" t="e">
        <f>MID($F$2,calc!B510,calc!C510-calc!B510)</f>
        <v>#VALUE!</v>
      </c>
    </row>
    <row r="511" spans="2:4" ht="16.5" customHeight="1">
      <c r="B511" s="2" t="e">
        <f t="shared" si="8"/>
        <v>#VALUE!</v>
      </c>
      <c r="C511" t="e">
        <f>FIND(" ",SUBSTITUTE($F$2, CHAR(10), " "),calc!B511)</f>
        <v>#VALUE!</v>
      </c>
      <c r="D511" t="e">
        <f>MID($F$2,calc!B511,calc!C511-calc!B511)</f>
        <v>#VALUE!</v>
      </c>
    </row>
    <row r="512" spans="2:4" ht="16.5" customHeight="1">
      <c r="B512" s="2" t="e">
        <f t="shared" si="8"/>
        <v>#VALUE!</v>
      </c>
      <c r="C512" t="e">
        <f>FIND(" ",SUBSTITUTE($F$2, CHAR(10), " "),calc!B512)</f>
        <v>#VALUE!</v>
      </c>
      <c r="D512" t="e">
        <f>MID($F$2,calc!B512,calc!C512-calc!B512)</f>
        <v>#VALUE!</v>
      </c>
    </row>
    <row r="513" spans="2:4" ht="16.5" customHeight="1">
      <c r="B513" s="2" t="e">
        <f t="shared" si="8"/>
        <v>#VALUE!</v>
      </c>
      <c r="C513" t="e">
        <f>FIND(" ",SUBSTITUTE($F$2, CHAR(10), " "),calc!B513)</f>
        <v>#VALUE!</v>
      </c>
      <c r="D513" t="e">
        <f>MID($F$2,calc!B513,calc!C513-calc!B513)</f>
        <v>#VALUE!</v>
      </c>
    </row>
    <row r="514" spans="2:4" ht="16.5" customHeight="1">
      <c r="B514" s="2" t="e">
        <f t="shared" si="8"/>
        <v>#VALUE!</v>
      </c>
      <c r="C514" t="e">
        <f>FIND(" ",SUBSTITUTE($F$2, CHAR(10), " "),calc!B514)</f>
        <v>#VALUE!</v>
      </c>
      <c r="D514" t="e">
        <f>MID($F$2,calc!B514,calc!C514-calc!B514)</f>
        <v>#VALUE!</v>
      </c>
    </row>
    <row r="515" spans="2:4" ht="16.5" customHeight="1">
      <c r="B515" s="2" t="e">
        <f t="shared" ref="B515:B578" si="9">FIND("#", $F$2, B514 +1)</f>
        <v>#VALUE!</v>
      </c>
      <c r="C515" t="e">
        <f>FIND(" ",SUBSTITUTE($F$2, CHAR(10), " "),calc!B515)</f>
        <v>#VALUE!</v>
      </c>
      <c r="D515" t="e">
        <f>MID($F$2,calc!B515,calc!C515-calc!B515)</f>
        <v>#VALUE!</v>
      </c>
    </row>
    <row r="516" spans="2:4" ht="16.5" customHeight="1">
      <c r="B516" s="2" t="e">
        <f t="shared" si="9"/>
        <v>#VALUE!</v>
      </c>
      <c r="C516" t="e">
        <f>FIND(" ",SUBSTITUTE($F$2, CHAR(10), " "),calc!B516)</f>
        <v>#VALUE!</v>
      </c>
      <c r="D516" t="e">
        <f>MID($F$2,calc!B516,calc!C516-calc!B516)</f>
        <v>#VALUE!</v>
      </c>
    </row>
    <row r="517" spans="2:4" ht="16.5" customHeight="1">
      <c r="B517" s="2" t="e">
        <f t="shared" si="9"/>
        <v>#VALUE!</v>
      </c>
      <c r="C517" t="e">
        <f>FIND(" ",SUBSTITUTE($F$2, CHAR(10), " "),calc!B517)</f>
        <v>#VALUE!</v>
      </c>
      <c r="D517" t="e">
        <f>MID($F$2,calc!B517,calc!C517-calc!B517)</f>
        <v>#VALUE!</v>
      </c>
    </row>
    <row r="518" spans="2:4" ht="16.5" customHeight="1">
      <c r="B518" s="2" t="e">
        <f t="shared" si="9"/>
        <v>#VALUE!</v>
      </c>
      <c r="C518" t="e">
        <f>FIND(" ",SUBSTITUTE($F$2, CHAR(10), " "),calc!B518)</f>
        <v>#VALUE!</v>
      </c>
      <c r="D518" t="e">
        <f>MID($F$2,calc!B518,calc!C518-calc!B518)</f>
        <v>#VALUE!</v>
      </c>
    </row>
    <row r="519" spans="2:4" ht="16.5" customHeight="1">
      <c r="B519" s="2" t="e">
        <f t="shared" si="9"/>
        <v>#VALUE!</v>
      </c>
      <c r="C519" t="e">
        <f>FIND(" ",SUBSTITUTE($F$2, CHAR(10), " "),calc!B519)</f>
        <v>#VALUE!</v>
      </c>
      <c r="D519" t="e">
        <f>MID($F$2,calc!B519,calc!C519-calc!B519)</f>
        <v>#VALUE!</v>
      </c>
    </row>
    <row r="520" spans="2:4" ht="16.5" customHeight="1">
      <c r="B520" s="2" t="e">
        <f t="shared" si="9"/>
        <v>#VALUE!</v>
      </c>
      <c r="C520" t="e">
        <f>FIND(" ",SUBSTITUTE($F$2, CHAR(10), " "),calc!B520)</f>
        <v>#VALUE!</v>
      </c>
      <c r="D520" t="e">
        <f>MID($F$2,calc!B520,calc!C520-calc!B520)</f>
        <v>#VALUE!</v>
      </c>
    </row>
    <row r="521" spans="2:4" ht="16.5" customHeight="1">
      <c r="B521" s="2" t="e">
        <f t="shared" si="9"/>
        <v>#VALUE!</v>
      </c>
      <c r="C521" t="e">
        <f>FIND(" ",SUBSTITUTE($F$2, CHAR(10), " "),calc!B521)</f>
        <v>#VALUE!</v>
      </c>
      <c r="D521" t="e">
        <f>MID($F$2,calc!B521,calc!C521-calc!B521)</f>
        <v>#VALUE!</v>
      </c>
    </row>
    <row r="522" spans="2:4" ht="16.5" customHeight="1">
      <c r="B522" s="2" t="e">
        <f t="shared" si="9"/>
        <v>#VALUE!</v>
      </c>
      <c r="C522" t="e">
        <f>FIND(" ",SUBSTITUTE($F$2, CHAR(10), " "),calc!B522)</f>
        <v>#VALUE!</v>
      </c>
      <c r="D522" t="e">
        <f>MID($F$2,calc!B522,calc!C522-calc!B522)</f>
        <v>#VALUE!</v>
      </c>
    </row>
    <row r="523" spans="2:4" ht="16.5" customHeight="1">
      <c r="B523" s="2" t="e">
        <f t="shared" si="9"/>
        <v>#VALUE!</v>
      </c>
      <c r="C523" t="e">
        <f>FIND(" ",SUBSTITUTE($F$2, CHAR(10), " "),calc!B523)</f>
        <v>#VALUE!</v>
      </c>
      <c r="D523" t="e">
        <f>MID($F$2,calc!B523,calc!C523-calc!B523)</f>
        <v>#VALUE!</v>
      </c>
    </row>
    <row r="524" spans="2:4" ht="16.5" customHeight="1">
      <c r="B524" s="2" t="e">
        <f t="shared" si="9"/>
        <v>#VALUE!</v>
      </c>
      <c r="C524" t="e">
        <f>FIND(" ",SUBSTITUTE($F$2, CHAR(10), " "),calc!B524)</f>
        <v>#VALUE!</v>
      </c>
      <c r="D524" t="e">
        <f>MID($F$2,calc!B524,calc!C524-calc!B524)</f>
        <v>#VALUE!</v>
      </c>
    </row>
    <row r="525" spans="2:4" ht="16.5" customHeight="1">
      <c r="B525" s="2" t="e">
        <f t="shared" si="9"/>
        <v>#VALUE!</v>
      </c>
      <c r="C525" t="e">
        <f>FIND(" ",SUBSTITUTE($F$2, CHAR(10), " "),calc!B525)</f>
        <v>#VALUE!</v>
      </c>
      <c r="D525" t="e">
        <f>MID($F$2,calc!B525,calc!C525-calc!B525)</f>
        <v>#VALUE!</v>
      </c>
    </row>
    <row r="526" spans="2:4" ht="16.5" customHeight="1">
      <c r="B526" s="2" t="e">
        <f t="shared" si="9"/>
        <v>#VALUE!</v>
      </c>
      <c r="C526" t="e">
        <f>FIND(" ",SUBSTITUTE($F$2, CHAR(10), " "),calc!B526)</f>
        <v>#VALUE!</v>
      </c>
      <c r="D526" t="e">
        <f>MID($F$2,calc!B526,calc!C526-calc!B526)</f>
        <v>#VALUE!</v>
      </c>
    </row>
    <row r="527" spans="2:4" ht="16.5" customHeight="1">
      <c r="B527" s="2" t="e">
        <f t="shared" si="9"/>
        <v>#VALUE!</v>
      </c>
      <c r="C527" t="e">
        <f>FIND(" ",SUBSTITUTE($F$2, CHAR(10), " "),calc!B527)</f>
        <v>#VALUE!</v>
      </c>
      <c r="D527" t="e">
        <f>MID($F$2,calc!B527,calc!C527-calc!B527)</f>
        <v>#VALUE!</v>
      </c>
    </row>
    <row r="528" spans="2:4" ht="16.5" customHeight="1">
      <c r="B528" s="2" t="e">
        <f t="shared" si="9"/>
        <v>#VALUE!</v>
      </c>
      <c r="C528" t="e">
        <f>FIND(" ",SUBSTITUTE($F$2, CHAR(10), " "),calc!B528)</f>
        <v>#VALUE!</v>
      </c>
      <c r="D528" t="e">
        <f>MID($F$2,calc!B528,calc!C528-calc!B528)</f>
        <v>#VALUE!</v>
      </c>
    </row>
    <row r="529" spans="2:4" ht="16.5" customHeight="1">
      <c r="B529" s="2" t="e">
        <f t="shared" si="9"/>
        <v>#VALUE!</v>
      </c>
      <c r="C529" t="e">
        <f>FIND(" ",SUBSTITUTE($F$2, CHAR(10), " "),calc!B529)</f>
        <v>#VALUE!</v>
      </c>
      <c r="D529" t="e">
        <f>MID($F$2,calc!B529,calc!C529-calc!B529)</f>
        <v>#VALUE!</v>
      </c>
    </row>
    <row r="530" spans="2:4" ht="16.5" customHeight="1">
      <c r="B530" s="2" t="e">
        <f t="shared" si="9"/>
        <v>#VALUE!</v>
      </c>
      <c r="C530" t="e">
        <f>FIND(" ",SUBSTITUTE($F$2, CHAR(10), " "),calc!B530)</f>
        <v>#VALUE!</v>
      </c>
      <c r="D530" t="e">
        <f>MID($F$2,calc!B530,calc!C530-calc!B530)</f>
        <v>#VALUE!</v>
      </c>
    </row>
    <row r="531" spans="2:4" ht="16.5" customHeight="1">
      <c r="B531" s="2" t="e">
        <f t="shared" si="9"/>
        <v>#VALUE!</v>
      </c>
      <c r="C531" t="e">
        <f>FIND(" ",SUBSTITUTE($F$2, CHAR(10), " "),calc!B531)</f>
        <v>#VALUE!</v>
      </c>
      <c r="D531" t="e">
        <f>MID($F$2,calc!B531,calc!C531-calc!B531)</f>
        <v>#VALUE!</v>
      </c>
    </row>
    <row r="532" spans="2:4" ht="16.5" customHeight="1">
      <c r="B532" s="2" t="e">
        <f t="shared" si="9"/>
        <v>#VALUE!</v>
      </c>
      <c r="C532" t="e">
        <f>FIND(" ",SUBSTITUTE($F$2, CHAR(10), " "),calc!B532)</f>
        <v>#VALUE!</v>
      </c>
      <c r="D532" t="e">
        <f>MID($F$2,calc!B532,calc!C532-calc!B532)</f>
        <v>#VALUE!</v>
      </c>
    </row>
    <row r="533" spans="2:4" ht="16.5" customHeight="1">
      <c r="B533" s="2" t="e">
        <f t="shared" si="9"/>
        <v>#VALUE!</v>
      </c>
      <c r="C533" t="e">
        <f>FIND(" ",SUBSTITUTE($F$2, CHAR(10), " "),calc!B533)</f>
        <v>#VALUE!</v>
      </c>
      <c r="D533" t="e">
        <f>MID($F$2,calc!B533,calc!C533-calc!B533)</f>
        <v>#VALUE!</v>
      </c>
    </row>
    <row r="534" spans="2:4" ht="16.5" customHeight="1">
      <c r="B534" s="2" t="e">
        <f t="shared" si="9"/>
        <v>#VALUE!</v>
      </c>
      <c r="C534" t="e">
        <f>FIND(" ",SUBSTITUTE($F$2, CHAR(10), " "),calc!B534)</f>
        <v>#VALUE!</v>
      </c>
      <c r="D534" t="e">
        <f>MID($F$2,calc!B534,calc!C534-calc!B534)</f>
        <v>#VALUE!</v>
      </c>
    </row>
    <row r="535" spans="2:4" ht="16.5" customHeight="1">
      <c r="B535" s="2" t="e">
        <f t="shared" si="9"/>
        <v>#VALUE!</v>
      </c>
      <c r="C535" t="e">
        <f>FIND(" ",SUBSTITUTE($F$2, CHAR(10), " "),calc!B535)</f>
        <v>#VALUE!</v>
      </c>
      <c r="D535" t="e">
        <f>MID($F$2,calc!B535,calc!C535-calc!B535)</f>
        <v>#VALUE!</v>
      </c>
    </row>
    <row r="536" spans="2:4" ht="16.5" customHeight="1">
      <c r="B536" s="2" t="e">
        <f t="shared" si="9"/>
        <v>#VALUE!</v>
      </c>
      <c r="C536" t="e">
        <f>FIND(" ",SUBSTITUTE($F$2, CHAR(10), " "),calc!B536)</f>
        <v>#VALUE!</v>
      </c>
      <c r="D536" t="e">
        <f>MID($F$2,calc!B536,calc!C536-calc!B536)</f>
        <v>#VALUE!</v>
      </c>
    </row>
    <row r="537" spans="2:4" ht="16.5" customHeight="1">
      <c r="B537" s="2" t="e">
        <f t="shared" si="9"/>
        <v>#VALUE!</v>
      </c>
      <c r="C537" t="e">
        <f>FIND(" ",SUBSTITUTE($F$2, CHAR(10), " "),calc!B537)</f>
        <v>#VALUE!</v>
      </c>
      <c r="D537" t="e">
        <f>MID($F$2,calc!B537,calc!C537-calc!B537)</f>
        <v>#VALUE!</v>
      </c>
    </row>
    <row r="538" spans="2:4" ht="16.5" customHeight="1">
      <c r="B538" s="2" t="e">
        <f t="shared" si="9"/>
        <v>#VALUE!</v>
      </c>
      <c r="C538" t="e">
        <f>FIND(" ",SUBSTITUTE($F$2, CHAR(10), " "),calc!B538)</f>
        <v>#VALUE!</v>
      </c>
      <c r="D538" t="e">
        <f>MID($F$2,calc!B538,calc!C538-calc!B538)</f>
        <v>#VALUE!</v>
      </c>
    </row>
    <row r="539" spans="2:4" ht="16.5" customHeight="1">
      <c r="B539" s="2" t="e">
        <f t="shared" si="9"/>
        <v>#VALUE!</v>
      </c>
      <c r="C539" t="e">
        <f>FIND(" ",SUBSTITUTE($F$2, CHAR(10), " "),calc!B539)</f>
        <v>#VALUE!</v>
      </c>
      <c r="D539" t="e">
        <f>MID($F$2,calc!B539,calc!C539-calc!B539)</f>
        <v>#VALUE!</v>
      </c>
    </row>
    <row r="540" spans="2:4" ht="16.5" customHeight="1">
      <c r="B540" s="2" t="e">
        <f t="shared" si="9"/>
        <v>#VALUE!</v>
      </c>
      <c r="C540" t="e">
        <f>FIND(" ",SUBSTITUTE($F$2, CHAR(10), " "),calc!B540)</f>
        <v>#VALUE!</v>
      </c>
      <c r="D540" t="e">
        <f>MID($F$2,calc!B540,calc!C540-calc!B540)</f>
        <v>#VALUE!</v>
      </c>
    </row>
    <row r="541" spans="2:4" ht="16.5" customHeight="1">
      <c r="B541" s="2" t="e">
        <f t="shared" si="9"/>
        <v>#VALUE!</v>
      </c>
      <c r="C541" t="e">
        <f>FIND(" ",SUBSTITUTE($F$2, CHAR(10), " "),calc!B541)</f>
        <v>#VALUE!</v>
      </c>
      <c r="D541" t="e">
        <f>MID($F$2,calc!B541,calc!C541-calc!B541)</f>
        <v>#VALUE!</v>
      </c>
    </row>
    <row r="542" spans="2:4" ht="16.5" customHeight="1">
      <c r="B542" s="2" t="e">
        <f t="shared" si="9"/>
        <v>#VALUE!</v>
      </c>
      <c r="C542" t="e">
        <f>FIND(" ",SUBSTITUTE($F$2, CHAR(10), " "),calc!B542)</f>
        <v>#VALUE!</v>
      </c>
      <c r="D542" t="e">
        <f>MID($F$2,calc!B542,calc!C542-calc!B542)</f>
        <v>#VALUE!</v>
      </c>
    </row>
    <row r="543" spans="2:4" ht="16.5" customHeight="1">
      <c r="B543" s="2" t="e">
        <f t="shared" si="9"/>
        <v>#VALUE!</v>
      </c>
      <c r="C543" t="e">
        <f>FIND(" ",SUBSTITUTE($F$2, CHAR(10), " "),calc!B543)</f>
        <v>#VALUE!</v>
      </c>
      <c r="D543" t="e">
        <f>MID($F$2,calc!B543,calc!C543-calc!B543)</f>
        <v>#VALUE!</v>
      </c>
    </row>
    <row r="544" spans="2:4" ht="16.5" customHeight="1">
      <c r="B544" s="2" t="e">
        <f t="shared" si="9"/>
        <v>#VALUE!</v>
      </c>
      <c r="C544" t="e">
        <f>FIND(" ",SUBSTITUTE($F$2, CHAR(10), " "),calc!B544)</f>
        <v>#VALUE!</v>
      </c>
      <c r="D544" t="e">
        <f>MID($F$2,calc!B544,calc!C544-calc!B544)</f>
        <v>#VALUE!</v>
      </c>
    </row>
    <row r="545" spans="2:4" ht="16.5" customHeight="1">
      <c r="B545" s="2" t="e">
        <f t="shared" si="9"/>
        <v>#VALUE!</v>
      </c>
      <c r="C545" t="e">
        <f>FIND(" ",SUBSTITUTE($F$2, CHAR(10), " "),calc!B545)</f>
        <v>#VALUE!</v>
      </c>
      <c r="D545" t="e">
        <f>MID($F$2,calc!B545,calc!C545-calc!B545)</f>
        <v>#VALUE!</v>
      </c>
    </row>
    <row r="546" spans="2:4" ht="16.5" customHeight="1">
      <c r="B546" s="2" t="e">
        <f t="shared" si="9"/>
        <v>#VALUE!</v>
      </c>
      <c r="C546" t="e">
        <f>FIND(" ",SUBSTITUTE($F$2, CHAR(10), " "),calc!B546)</f>
        <v>#VALUE!</v>
      </c>
      <c r="D546" t="e">
        <f>MID($F$2,calc!B546,calc!C546-calc!B546)</f>
        <v>#VALUE!</v>
      </c>
    </row>
    <row r="547" spans="2:4" ht="16.5" customHeight="1">
      <c r="B547" s="2" t="e">
        <f t="shared" si="9"/>
        <v>#VALUE!</v>
      </c>
      <c r="C547" t="e">
        <f>FIND(" ",SUBSTITUTE($F$2, CHAR(10), " "),calc!B547)</f>
        <v>#VALUE!</v>
      </c>
      <c r="D547" t="e">
        <f>MID($F$2,calc!B547,calc!C547-calc!B547)</f>
        <v>#VALUE!</v>
      </c>
    </row>
    <row r="548" spans="2:4" ht="16.5" customHeight="1">
      <c r="B548" s="2" t="e">
        <f t="shared" si="9"/>
        <v>#VALUE!</v>
      </c>
      <c r="C548" t="e">
        <f>FIND(" ",SUBSTITUTE($F$2, CHAR(10), " "),calc!B548)</f>
        <v>#VALUE!</v>
      </c>
      <c r="D548" t="e">
        <f>MID($F$2,calc!B548,calc!C548-calc!B548)</f>
        <v>#VALUE!</v>
      </c>
    </row>
    <row r="549" spans="2:4" ht="16.5" customHeight="1">
      <c r="B549" s="2" t="e">
        <f t="shared" si="9"/>
        <v>#VALUE!</v>
      </c>
      <c r="C549" t="e">
        <f>FIND(" ",SUBSTITUTE($F$2, CHAR(10), " "),calc!B549)</f>
        <v>#VALUE!</v>
      </c>
      <c r="D549" t="e">
        <f>MID($F$2,calc!B549,calc!C549-calc!B549)</f>
        <v>#VALUE!</v>
      </c>
    </row>
    <row r="550" spans="2:4" ht="16.5" customHeight="1">
      <c r="B550" s="2" t="e">
        <f t="shared" si="9"/>
        <v>#VALUE!</v>
      </c>
      <c r="C550" t="e">
        <f>FIND(" ",SUBSTITUTE($F$2, CHAR(10), " "),calc!B550)</f>
        <v>#VALUE!</v>
      </c>
      <c r="D550" t="e">
        <f>MID($F$2,calc!B550,calc!C550-calc!B550)</f>
        <v>#VALUE!</v>
      </c>
    </row>
    <row r="551" spans="2:4" ht="16.5" customHeight="1">
      <c r="B551" s="2" t="e">
        <f t="shared" si="9"/>
        <v>#VALUE!</v>
      </c>
      <c r="C551" t="e">
        <f>FIND(" ",SUBSTITUTE($F$2, CHAR(10), " "),calc!B551)</f>
        <v>#VALUE!</v>
      </c>
      <c r="D551" t="e">
        <f>MID($F$2,calc!B551,calc!C551-calc!B551)</f>
        <v>#VALUE!</v>
      </c>
    </row>
    <row r="552" spans="2:4" ht="16.5" customHeight="1">
      <c r="B552" s="2" t="e">
        <f t="shared" si="9"/>
        <v>#VALUE!</v>
      </c>
      <c r="C552" t="e">
        <f>FIND(" ",SUBSTITUTE($F$2, CHAR(10), " "),calc!B552)</f>
        <v>#VALUE!</v>
      </c>
      <c r="D552" t="e">
        <f>MID($F$2,calc!B552,calc!C552-calc!B552)</f>
        <v>#VALUE!</v>
      </c>
    </row>
    <row r="553" spans="2:4" ht="16.5" customHeight="1">
      <c r="B553" s="2" t="e">
        <f t="shared" si="9"/>
        <v>#VALUE!</v>
      </c>
      <c r="C553" t="e">
        <f>FIND(" ",SUBSTITUTE($F$2, CHAR(10), " "),calc!B553)</f>
        <v>#VALUE!</v>
      </c>
      <c r="D553" t="e">
        <f>MID($F$2,calc!B553,calc!C553-calc!B553)</f>
        <v>#VALUE!</v>
      </c>
    </row>
    <row r="554" spans="2:4" ht="16.5" customHeight="1">
      <c r="B554" s="2" t="e">
        <f t="shared" si="9"/>
        <v>#VALUE!</v>
      </c>
      <c r="C554" t="e">
        <f>FIND(" ",SUBSTITUTE($F$2, CHAR(10), " "),calc!B554)</f>
        <v>#VALUE!</v>
      </c>
      <c r="D554" t="e">
        <f>MID($F$2,calc!B554,calc!C554-calc!B554)</f>
        <v>#VALUE!</v>
      </c>
    </row>
    <row r="555" spans="2:4" ht="16.5" customHeight="1">
      <c r="B555" s="2" t="e">
        <f t="shared" si="9"/>
        <v>#VALUE!</v>
      </c>
      <c r="C555" t="e">
        <f>FIND(" ",SUBSTITUTE($F$2, CHAR(10), " "),calc!B555)</f>
        <v>#VALUE!</v>
      </c>
      <c r="D555" t="e">
        <f>MID($F$2,calc!B555,calc!C555-calc!B555)</f>
        <v>#VALUE!</v>
      </c>
    </row>
    <row r="556" spans="2:4" ht="16.5" customHeight="1">
      <c r="B556" s="2" t="e">
        <f t="shared" si="9"/>
        <v>#VALUE!</v>
      </c>
      <c r="C556" t="e">
        <f>FIND(" ",SUBSTITUTE($F$2, CHAR(10), " "),calc!B556)</f>
        <v>#VALUE!</v>
      </c>
      <c r="D556" t="e">
        <f>MID($F$2,calc!B556,calc!C556-calc!B556)</f>
        <v>#VALUE!</v>
      </c>
    </row>
    <row r="557" spans="2:4" ht="16.5" customHeight="1">
      <c r="B557" s="2" t="e">
        <f t="shared" si="9"/>
        <v>#VALUE!</v>
      </c>
      <c r="C557" t="e">
        <f>FIND(" ",SUBSTITUTE($F$2, CHAR(10), " "),calc!B557)</f>
        <v>#VALUE!</v>
      </c>
      <c r="D557" t="e">
        <f>MID($F$2,calc!B557,calc!C557-calc!B557)</f>
        <v>#VALUE!</v>
      </c>
    </row>
    <row r="558" spans="2:4" ht="16.5" customHeight="1">
      <c r="B558" s="2" t="e">
        <f t="shared" si="9"/>
        <v>#VALUE!</v>
      </c>
      <c r="C558" t="e">
        <f>FIND(" ",SUBSTITUTE($F$2, CHAR(10), " "),calc!B558)</f>
        <v>#VALUE!</v>
      </c>
      <c r="D558" t="e">
        <f>MID($F$2,calc!B558,calc!C558-calc!B558)</f>
        <v>#VALUE!</v>
      </c>
    </row>
    <row r="559" spans="2:4" ht="16.5" customHeight="1">
      <c r="B559" s="2" t="e">
        <f t="shared" si="9"/>
        <v>#VALUE!</v>
      </c>
      <c r="C559" t="e">
        <f>FIND(" ",SUBSTITUTE($F$2, CHAR(10), " "),calc!B559)</f>
        <v>#VALUE!</v>
      </c>
      <c r="D559" t="e">
        <f>MID($F$2,calc!B559,calc!C559-calc!B559)</f>
        <v>#VALUE!</v>
      </c>
    </row>
    <row r="560" spans="2:4" ht="16.5" customHeight="1">
      <c r="B560" s="2" t="e">
        <f t="shared" si="9"/>
        <v>#VALUE!</v>
      </c>
      <c r="C560" t="e">
        <f>FIND(" ",SUBSTITUTE($F$2, CHAR(10), " "),calc!B560)</f>
        <v>#VALUE!</v>
      </c>
      <c r="D560" t="e">
        <f>MID($F$2,calc!B560,calc!C560-calc!B560)</f>
        <v>#VALUE!</v>
      </c>
    </row>
    <row r="561" spans="2:4" ht="16.5" customHeight="1">
      <c r="B561" s="2" t="e">
        <f t="shared" si="9"/>
        <v>#VALUE!</v>
      </c>
      <c r="C561" t="e">
        <f>FIND(" ",SUBSTITUTE($F$2, CHAR(10), " "),calc!B561)</f>
        <v>#VALUE!</v>
      </c>
      <c r="D561" t="e">
        <f>MID($F$2,calc!B561,calc!C561-calc!B561)</f>
        <v>#VALUE!</v>
      </c>
    </row>
    <row r="562" spans="2:4" ht="16.5" customHeight="1">
      <c r="B562" s="2" t="e">
        <f t="shared" si="9"/>
        <v>#VALUE!</v>
      </c>
      <c r="C562" t="e">
        <f>FIND(" ",SUBSTITUTE($F$2, CHAR(10), " "),calc!B562)</f>
        <v>#VALUE!</v>
      </c>
      <c r="D562" t="e">
        <f>MID($F$2,calc!B562,calc!C562-calc!B562)</f>
        <v>#VALUE!</v>
      </c>
    </row>
    <row r="563" spans="2:4" ht="16.5" customHeight="1">
      <c r="B563" s="2" t="e">
        <f t="shared" si="9"/>
        <v>#VALUE!</v>
      </c>
      <c r="C563" t="e">
        <f>FIND(" ",SUBSTITUTE($F$2, CHAR(10), " "),calc!B563)</f>
        <v>#VALUE!</v>
      </c>
      <c r="D563" t="e">
        <f>MID($F$2,calc!B563,calc!C563-calc!B563)</f>
        <v>#VALUE!</v>
      </c>
    </row>
    <row r="564" spans="2:4" ht="16.5" customHeight="1">
      <c r="B564" s="2" t="e">
        <f t="shared" si="9"/>
        <v>#VALUE!</v>
      </c>
      <c r="C564" t="e">
        <f>FIND(" ",SUBSTITUTE($F$2, CHAR(10), " "),calc!B564)</f>
        <v>#VALUE!</v>
      </c>
      <c r="D564" t="e">
        <f>MID($F$2,calc!B564,calc!C564-calc!B564)</f>
        <v>#VALUE!</v>
      </c>
    </row>
    <row r="565" spans="2:4" ht="16.5" customHeight="1">
      <c r="B565" s="2" t="e">
        <f t="shared" si="9"/>
        <v>#VALUE!</v>
      </c>
      <c r="C565" t="e">
        <f>FIND(" ",SUBSTITUTE($F$2, CHAR(10), " "),calc!B565)</f>
        <v>#VALUE!</v>
      </c>
      <c r="D565" t="e">
        <f>MID($F$2,calc!B565,calc!C565-calc!B565)</f>
        <v>#VALUE!</v>
      </c>
    </row>
    <row r="566" spans="2:4" ht="16.5" customHeight="1">
      <c r="B566" s="2" t="e">
        <f t="shared" si="9"/>
        <v>#VALUE!</v>
      </c>
      <c r="C566" t="e">
        <f>FIND(" ",SUBSTITUTE($F$2, CHAR(10), " "),calc!B566)</f>
        <v>#VALUE!</v>
      </c>
      <c r="D566" t="e">
        <f>MID($F$2,calc!B566,calc!C566-calc!B566)</f>
        <v>#VALUE!</v>
      </c>
    </row>
    <row r="567" spans="2:4" ht="16.5" customHeight="1">
      <c r="B567" s="2" t="e">
        <f t="shared" si="9"/>
        <v>#VALUE!</v>
      </c>
      <c r="C567" t="e">
        <f>FIND(" ",SUBSTITUTE($F$2, CHAR(10), " "),calc!B567)</f>
        <v>#VALUE!</v>
      </c>
      <c r="D567" t="e">
        <f>MID($F$2,calc!B567,calc!C567-calc!B567)</f>
        <v>#VALUE!</v>
      </c>
    </row>
    <row r="568" spans="2:4" ht="16.5" customHeight="1">
      <c r="B568" s="2" t="e">
        <f t="shared" si="9"/>
        <v>#VALUE!</v>
      </c>
      <c r="C568" t="e">
        <f>FIND(" ",SUBSTITUTE($F$2, CHAR(10), " "),calc!B568)</f>
        <v>#VALUE!</v>
      </c>
      <c r="D568" t="e">
        <f>MID($F$2,calc!B568,calc!C568-calc!B568)</f>
        <v>#VALUE!</v>
      </c>
    </row>
    <row r="569" spans="2:4" ht="16.5" customHeight="1">
      <c r="B569" s="2" t="e">
        <f t="shared" si="9"/>
        <v>#VALUE!</v>
      </c>
      <c r="C569" t="e">
        <f>FIND(" ",SUBSTITUTE($F$2, CHAR(10), " "),calc!B569)</f>
        <v>#VALUE!</v>
      </c>
      <c r="D569" t="e">
        <f>MID($F$2,calc!B569,calc!C569-calc!B569)</f>
        <v>#VALUE!</v>
      </c>
    </row>
    <row r="570" spans="2:4" ht="16.5" customHeight="1">
      <c r="B570" s="2" t="e">
        <f t="shared" si="9"/>
        <v>#VALUE!</v>
      </c>
      <c r="C570" t="e">
        <f>FIND(" ",SUBSTITUTE($F$2, CHAR(10), " "),calc!B570)</f>
        <v>#VALUE!</v>
      </c>
      <c r="D570" t="e">
        <f>MID($F$2,calc!B570,calc!C570-calc!B570)</f>
        <v>#VALUE!</v>
      </c>
    </row>
    <row r="571" spans="2:4" ht="16.5" customHeight="1">
      <c r="B571" s="2" t="e">
        <f t="shared" si="9"/>
        <v>#VALUE!</v>
      </c>
      <c r="C571" t="e">
        <f>FIND(" ",SUBSTITUTE($F$2, CHAR(10), " "),calc!B571)</f>
        <v>#VALUE!</v>
      </c>
      <c r="D571" t="e">
        <f>MID($F$2,calc!B571,calc!C571-calc!B571)</f>
        <v>#VALUE!</v>
      </c>
    </row>
    <row r="572" spans="2:4" ht="16.5" customHeight="1">
      <c r="B572" s="2" t="e">
        <f t="shared" si="9"/>
        <v>#VALUE!</v>
      </c>
      <c r="C572" t="e">
        <f>FIND(" ",SUBSTITUTE($F$2, CHAR(10), " "),calc!B572)</f>
        <v>#VALUE!</v>
      </c>
      <c r="D572" t="e">
        <f>MID($F$2,calc!B572,calc!C572-calc!B572)</f>
        <v>#VALUE!</v>
      </c>
    </row>
    <row r="573" spans="2:4" ht="16.5" customHeight="1">
      <c r="B573" s="2" t="e">
        <f t="shared" si="9"/>
        <v>#VALUE!</v>
      </c>
      <c r="C573" t="e">
        <f>FIND(" ",SUBSTITUTE($F$2, CHAR(10), " "),calc!B573)</f>
        <v>#VALUE!</v>
      </c>
      <c r="D573" t="e">
        <f>MID($F$2,calc!B573,calc!C573-calc!B573)</f>
        <v>#VALUE!</v>
      </c>
    </row>
    <row r="574" spans="2:4" ht="16.5" customHeight="1">
      <c r="B574" s="2" t="e">
        <f t="shared" si="9"/>
        <v>#VALUE!</v>
      </c>
      <c r="C574" t="e">
        <f>FIND(" ",SUBSTITUTE($F$2, CHAR(10), " "),calc!B574)</f>
        <v>#VALUE!</v>
      </c>
      <c r="D574" t="e">
        <f>MID($F$2,calc!B574,calc!C574-calc!B574)</f>
        <v>#VALUE!</v>
      </c>
    </row>
    <row r="575" spans="2:4" ht="16.5" customHeight="1">
      <c r="B575" s="2" t="e">
        <f t="shared" si="9"/>
        <v>#VALUE!</v>
      </c>
      <c r="C575" t="e">
        <f>FIND(" ",SUBSTITUTE($F$2, CHAR(10), " "),calc!B575)</f>
        <v>#VALUE!</v>
      </c>
      <c r="D575" t="e">
        <f>MID($F$2,calc!B575,calc!C575-calc!B575)</f>
        <v>#VALUE!</v>
      </c>
    </row>
    <row r="576" spans="2:4" ht="16.5" customHeight="1">
      <c r="B576" s="2" t="e">
        <f t="shared" si="9"/>
        <v>#VALUE!</v>
      </c>
      <c r="C576" t="e">
        <f>FIND(" ",SUBSTITUTE($F$2, CHAR(10), " "),calc!B576)</f>
        <v>#VALUE!</v>
      </c>
      <c r="D576" t="e">
        <f>MID($F$2,calc!B576,calc!C576-calc!B576)</f>
        <v>#VALUE!</v>
      </c>
    </row>
    <row r="577" spans="2:4" ht="16.5" customHeight="1">
      <c r="B577" s="2" t="e">
        <f t="shared" si="9"/>
        <v>#VALUE!</v>
      </c>
      <c r="C577" t="e">
        <f>FIND(" ",SUBSTITUTE($F$2, CHAR(10), " "),calc!B577)</f>
        <v>#VALUE!</v>
      </c>
      <c r="D577" t="e">
        <f>MID($F$2,calc!B577,calc!C577-calc!B577)</f>
        <v>#VALUE!</v>
      </c>
    </row>
    <row r="578" spans="2:4" ht="16.5" customHeight="1">
      <c r="B578" s="2" t="e">
        <f t="shared" si="9"/>
        <v>#VALUE!</v>
      </c>
      <c r="C578" t="e">
        <f>FIND(" ",SUBSTITUTE($F$2, CHAR(10), " "),calc!B578)</f>
        <v>#VALUE!</v>
      </c>
      <c r="D578" t="e">
        <f>MID($F$2,calc!B578,calc!C578-calc!B578)</f>
        <v>#VALUE!</v>
      </c>
    </row>
    <row r="579" spans="2:4" ht="16.5" customHeight="1">
      <c r="B579" s="2" t="e">
        <f t="shared" ref="B579:B642" si="10">FIND("#", $F$2, B578 +1)</f>
        <v>#VALUE!</v>
      </c>
      <c r="C579" t="e">
        <f>FIND(" ",SUBSTITUTE($F$2, CHAR(10), " "),calc!B579)</f>
        <v>#VALUE!</v>
      </c>
      <c r="D579" t="e">
        <f>MID($F$2,calc!B579,calc!C579-calc!B579)</f>
        <v>#VALUE!</v>
      </c>
    </row>
    <row r="580" spans="2:4" ht="16.5" customHeight="1">
      <c r="B580" s="2" t="e">
        <f t="shared" si="10"/>
        <v>#VALUE!</v>
      </c>
      <c r="C580" t="e">
        <f>FIND(" ",SUBSTITUTE($F$2, CHAR(10), " "),calc!B580)</f>
        <v>#VALUE!</v>
      </c>
      <c r="D580" t="e">
        <f>MID($F$2,calc!B580,calc!C580-calc!B580)</f>
        <v>#VALUE!</v>
      </c>
    </row>
    <row r="581" spans="2:4" ht="16.5" customHeight="1">
      <c r="B581" s="2" t="e">
        <f t="shared" si="10"/>
        <v>#VALUE!</v>
      </c>
      <c r="C581" t="e">
        <f>FIND(" ",SUBSTITUTE($F$2, CHAR(10), " "),calc!B581)</f>
        <v>#VALUE!</v>
      </c>
      <c r="D581" t="e">
        <f>MID($F$2,calc!B581,calc!C581-calc!B581)</f>
        <v>#VALUE!</v>
      </c>
    </row>
    <row r="582" spans="2:4" ht="16.5" customHeight="1">
      <c r="B582" s="2" t="e">
        <f t="shared" si="10"/>
        <v>#VALUE!</v>
      </c>
      <c r="C582" t="e">
        <f>FIND(" ",SUBSTITUTE($F$2, CHAR(10), " "),calc!B582)</f>
        <v>#VALUE!</v>
      </c>
      <c r="D582" t="e">
        <f>MID($F$2,calc!B582,calc!C582-calc!B582)</f>
        <v>#VALUE!</v>
      </c>
    </row>
    <row r="583" spans="2:4" ht="16.5" customHeight="1">
      <c r="B583" s="2" t="e">
        <f t="shared" si="10"/>
        <v>#VALUE!</v>
      </c>
      <c r="C583" t="e">
        <f>FIND(" ",SUBSTITUTE($F$2, CHAR(10), " "),calc!B583)</f>
        <v>#VALUE!</v>
      </c>
      <c r="D583" t="e">
        <f>MID($F$2,calc!B583,calc!C583-calc!B583)</f>
        <v>#VALUE!</v>
      </c>
    </row>
    <row r="584" spans="2:4" ht="16.5" customHeight="1">
      <c r="B584" s="2" t="e">
        <f t="shared" si="10"/>
        <v>#VALUE!</v>
      </c>
      <c r="C584" t="e">
        <f>FIND(" ",SUBSTITUTE($F$2, CHAR(10), " "),calc!B584)</f>
        <v>#VALUE!</v>
      </c>
      <c r="D584" t="e">
        <f>MID($F$2,calc!B584,calc!C584-calc!B584)</f>
        <v>#VALUE!</v>
      </c>
    </row>
    <row r="585" spans="2:4" ht="16.5" customHeight="1">
      <c r="B585" s="2" t="e">
        <f t="shared" si="10"/>
        <v>#VALUE!</v>
      </c>
      <c r="C585" t="e">
        <f>FIND(" ",SUBSTITUTE($F$2, CHAR(10), " "),calc!B585)</f>
        <v>#VALUE!</v>
      </c>
      <c r="D585" t="e">
        <f>MID($F$2,calc!B585,calc!C585-calc!B585)</f>
        <v>#VALUE!</v>
      </c>
    </row>
    <row r="586" spans="2:4" ht="16.5" customHeight="1">
      <c r="B586" s="2" t="e">
        <f t="shared" si="10"/>
        <v>#VALUE!</v>
      </c>
      <c r="C586" t="e">
        <f>FIND(" ",SUBSTITUTE($F$2, CHAR(10), " "),calc!B586)</f>
        <v>#VALUE!</v>
      </c>
      <c r="D586" t="e">
        <f>MID($F$2,calc!B586,calc!C586-calc!B586)</f>
        <v>#VALUE!</v>
      </c>
    </row>
    <row r="587" spans="2:4" ht="16.5" customHeight="1">
      <c r="B587" s="2" t="e">
        <f t="shared" si="10"/>
        <v>#VALUE!</v>
      </c>
      <c r="C587" t="e">
        <f>FIND(" ",SUBSTITUTE($F$2, CHAR(10), " "),calc!B587)</f>
        <v>#VALUE!</v>
      </c>
      <c r="D587" t="e">
        <f>MID($F$2,calc!B587,calc!C587-calc!B587)</f>
        <v>#VALUE!</v>
      </c>
    </row>
    <row r="588" spans="2:4" ht="16.5" customHeight="1">
      <c r="B588" s="2" t="e">
        <f t="shared" si="10"/>
        <v>#VALUE!</v>
      </c>
      <c r="C588" t="e">
        <f>FIND(" ",SUBSTITUTE($F$2, CHAR(10), " "),calc!B588)</f>
        <v>#VALUE!</v>
      </c>
      <c r="D588" t="e">
        <f>MID($F$2,calc!B588,calc!C588-calc!B588)</f>
        <v>#VALUE!</v>
      </c>
    </row>
    <row r="589" spans="2:4" ht="16.5" customHeight="1">
      <c r="B589" s="2" t="e">
        <f t="shared" si="10"/>
        <v>#VALUE!</v>
      </c>
      <c r="C589" t="e">
        <f>FIND(" ",SUBSTITUTE($F$2, CHAR(10), " "),calc!B589)</f>
        <v>#VALUE!</v>
      </c>
      <c r="D589" t="e">
        <f>MID($F$2,calc!B589,calc!C589-calc!B589)</f>
        <v>#VALUE!</v>
      </c>
    </row>
    <row r="590" spans="2:4" ht="16.5" customHeight="1">
      <c r="B590" s="2" t="e">
        <f t="shared" si="10"/>
        <v>#VALUE!</v>
      </c>
      <c r="C590" t="e">
        <f>FIND(" ",SUBSTITUTE($F$2, CHAR(10), " "),calc!B590)</f>
        <v>#VALUE!</v>
      </c>
      <c r="D590" t="e">
        <f>MID($F$2,calc!B590,calc!C590-calc!B590)</f>
        <v>#VALUE!</v>
      </c>
    </row>
    <row r="591" spans="2:4" ht="16.5" customHeight="1">
      <c r="B591" s="2" t="e">
        <f t="shared" si="10"/>
        <v>#VALUE!</v>
      </c>
      <c r="C591" t="e">
        <f>FIND(" ",SUBSTITUTE($F$2, CHAR(10), " "),calc!B591)</f>
        <v>#VALUE!</v>
      </c>
      <c r="D591" t="e">
        <f>MID($F$2,calc!B591,calc!C591-calc!B591)</f>
        <v>#VALUE!</v>
      </c>
    </row>
    <row r="592" spans="2:4" ht="16.5" customHeight="1">
      <c r="B592" s="2" t="e">
        <f t="shared" si="10"/>
        <v>#VALUE!</v>
      </c>
      <c r="C592" t="e">
        <f>FIND(" ",SUBSTITUTE($F$2, CHAR(10), " "),calc!B592)</f>
        <v>#VALUE!</v>
      </c>
      <c r="D592" t="e">
        <f>MID($F$2,calc!B592,calc!C592-calc!B592)</f>
        <v>#VALUE!</v>
      </c>
    </row>
    <row r="593" spans="2:4" ht="16.5" customHeight="1">
      <c r="B593" s="2" t="e">
        <f t="shared" si="10"/>
        <v>#VALUE!</v>
      </c>
      <c r="C593" t="e">
        <f>FIND(" ",SUBSTITUTE($F$2, CHAR(10), " "),calc!B593)</f>
        <v>#VALUE!</v>
      </c>
      <c r="D593" t="e">
        <f>MID($F$2,calc!B593,calc!C593-calc!B593)</f>
        <v>#VALUE!</v>
      </c>
    </row>
    <row r="594" spans="2:4" ht="16.5" customHeight="1">
      <c r="B594" s="2" t="e">
        <f t="shared" si="10"/>
        <v>#VALUE!</v>
      </c>
      <c r="C594" t="e">
        <f>FIND(" ",SUBSTITUTE($F$2, CHAR(10), " "),calc!B594)</f>
        <v>#VALUE!</v>
      </c>
      <c r="D594" t="e">
        <f>MID($F$2,calc!B594,calc!C594-calc!B594)</f>
        <v>#VALUE!</v>
      </c>
    </row>
    <row r="595" spans="2:4" ht="16.5" customHeight="1">
      <c r="B595" s="2" t="e">
        <f t="shared" si="10"/>
        <v>#VALUE!</v>
      </c>
      <c r="C595" t="e">
        <f>FIND(" ",SUBSTITUTE($F$2, CHAR(10), " "),calc!B595)</f>
        <v>#VALUE!</v>
      </c>
      <c r="D595" t="e">
        <f>MID($F$2,calc!B595,calc!C595-calc!B595)</f>
        <v>#VALUE!</v>
      </c>
    </row>
    <row r="596" spans="2:4" ht="16.5" customHeight="1">
      <c r="B596" s="2" t="e">
        <f t="shared" si="10"/>
        <v>#VALUE!</v>
      </c>
      <c r="C596" t="e">
        <f>FIND(" ",SUBSTITUTE($F$2, CHAR(10), " "),calc!B596)</f>
        <v>#VALUE!</v>
      </c>
      <c r="D596" t="e">
        <f>MID($F$2,calc!B596,calc!C596-calc!B596)</f>
        <v>#VALUE!</v>
      </c>
    </row>
    <row r="597" spans="2:4" ht="16.5" customHeight="1">
      <c r="B597" s="2" t="e">
        <f t="shared" si="10"/>
        <v>#VALUE!</v>
      </c>
      <c r="C597" t="e">
        <f>FIND(" ",SUBSTITUTE($F$2, CHAR(10), " "),calc!B597)</f>
        <v>#VALUE!</v>
      </c>
      <c r="D597" t="e">
        <f>MID($F$2,calc!B597,calc!C597-calc!B597)</f>
        <v>#VALUE!</v>
      </c>
    </row>
    <row r="598" spans="2:4" ht="16.5" customHeight="1">
      <c r="B598" s="2" t="e">
        <f t="shared" si="10"/>
        <v>#VALUE!</v>
      </c>
      <c r="C598" t="e">
        <f>FIND(" ",SUBSTITUTE($F$2, CHAR(10), " "),calc!B598)</f>
        <v>#VALUE!</v>
      </c>
      <c r="D598" t="e">
        <f>MID($F$2,calc!B598,calc!C598-calc!B598)</f>
        <v>#VALUE!</v>
      </c>
    </row>
    <row r="599" spans="2:4" ht="16.5" customHeight="1">
      <c r="B599" s="2" t="e">
        <f t="shared" si="10"/>
        <v>#VALUE!</v>
      </c>
      <c r="C599" t="e">
        <f>FIND(" ",SUBSTITUTE($F$2, CHAR(10), " "),calc!B599)</f>
        <v>#VALUE!</v>
      </c>
      <c r="D599" t="e">
        <f>MID($F$2,calc!B599,calc!C599-calc!B599)</f>
        <v>#VALUE!</v>
      </c>
    </row>
    <row r="600" spans="2:4" ht="16.5" customHeight="1">
      <c r="B600" s="2" t="e">
        <f t="shared" si="10"/>
        <v>#VALUE!</v>
      </c>
      <c r="C600" t="e">
        <f>FIND(" ",SUBSTITUTE($F$2, CHAR(10), " "),calc!B600)</f>
        <v>#VALUE!</v>
      </c>
      <c r="D600" t="e">
        <f>MID($F$2,calc!B600,calc!C600-calc!B600)</f>
        <v>#VALUE!</v>
      </c>
    </row>
    <row r="601" spans="2:4" ht="16.5" customHeight="1">
      <c r="B601" s="2" t="e">
        <f t="shared" si="10"/>
        <v>#VALUE!</v>
      </c>
      <c r="C601" t="e">
        <f>FIND(" ",SUBSTITUTE($F$2, CHAR(10), " "),calc!B601)</f>
        <v>#VALUE!</v>
      </c>
      <c r="D601" t="e">
        <f>MID($F$2,calc!B601,calc!C601-calc!B601)</f>
        <v>#VALUE!</v>
      </c>
    </row>
    <row r="602" spans="2:4" ht="16.5" customHeight="1">
      <c r="B602" s="2" t="e">
        <f t="shared" si="10"/>
        <v>#VALUE!</v>
      </c>
      <c r="C602" t="e">
        <f>FIND(" ",SUBSTITUTE($F$2, CHAR(10), " "),calc!B602)</f>
        <v>#VALUE!</v>
      </c>
      <c r="D602" t="e">
        <f>MID($F$2,calc!B602,calc!C602-calc!B602)</f>
        <v>#VALUE!</v>
      </c>
    </row>
    <row r="603" spans="2:4" ht="16.5" customHeight="1">
      <c r="B603" s="2" t="e">
        <f t="shared" si="10"/>
        <v>#VALUE!</v>
      </c>
      <c r="C603" t="e">
        <f>FIND(" ",SUBSTITUTE($F$2, CHAR(10), " "),calc!B603)</f>
        <v>#VALUE!</v>
      </c>
      <c r="D603" t="e">
        <f>MID($F$2,calc!B603,calc!C603-calc!B603)</f>
        <v>#VALUE!</v>
      </c>
    </row>
    <row r="604" spans="2:4" ht="16.5" customHeight="1">
      <c r="B604" s="2" t="e">
        <f t="shared" si="10"/>
        <v>#VALUE!</v>
      </c>
      <c r="C604" t="e">
        <f>FIND(" ",SUBSTITUTE($F$2, CHAR(10), " "),calc!B604)</f>
        <v>#VALUE!</v>
      </c>
      <c r="D604" t="e">
        <f>MID($F$2,calc!B604,calc!C604-calc!B604)</f>
        <v>#VALUE!</v>
      </c>
    </row>
    <row r="605" spans="2:4" ht="16.5" customHeight="1">
      <c r="B605" s="2" t="e">
        <f t="shared" si="10"/>
        <v>#VALUE!</v>
      </c>
      <c r="C605" t="e">
        <f>FIND(" ",SUBSTITUTE($F$2, CHAR(10), " "),calc!B605)</f>
        <v>#VALUE!</v>
      </c>
      <c r="D605" t="e">
        <f>MID($F$2,calc!B605,calc!C605-calc!B605)</f>
        <v>#VALUE!</v>
      </c>
    </row>
    <row r="606" spans="2:4" ht="16.5" customHeight="1">
      <c r="B606" s="2" t="e">
        <f t="shared" si="10"/>
        <v>#VALUE!</v>
      </c>
      <c r="C606" t="e">
        <f>FIND(" ",SUBSTITUTE($F$2, CHAR(10), " "),calc!B606)</f>
        <v>#VALUE!</v>
      </c>
      <c r="D606" t="e">
        <f>MID($F$2,calc!B606,calc!C606-calc!B606)</f>
        <v>#VALUE!</v>
      </c>
    </row>
    <row r="607" spans="2:4" ht="16.5" customHeight="1">
      <c r="B607" s="2" t="e">
        <f t="shared" si="10"/>
        <v>#VALUE!</v>
      </c>
      <c r="C607" t="e">
        <f>FIND(" ",SUBSTITUTE($F$2, CHAR(10), " "),calc!B607)</f>
        <v>#VALUE!</v>
      </c>
      <c r="D607" t="e">
        <f>MID($F$2,calc!B607,calc!C607-calc!B607)</f>
        <v>#VALUE!</v>
      </c>
    </row>
    <row r="608" spans="2:4" ht="16.5" customHeight="1">
      <c r="B608" s="2" t="e">
        <f t="shared" si="10"/>
        <v>#VALUE!</v>
      </c>
      <c r="C608" t="e">
        <f>FIND(" ",SUBSTITUTE($F$2, CHAR(10), " "),calc!B608)</f>
        <v>#VALUE!</v>
      </c>
      <c r="D608" t="e">
        <f>MID($F$2,calc!B608,calc!C608-calc!B608)</f>
        <v>#VALUE!</v>
      </c>
    </row>
    <row r="609" spans="2:4" ht="16.5" customHeight="1">
      <c r="B609" s="2" t="e">
        <f t="shared" si="10"/>
        <v>#VALUE!</v>
      </c>
      <c r="C609" t="e">
        <f>FIND(" ",SUBSTITUTE($F$2, CHAR(10), " "),calc!B609)</f>
        <v>#VALUE!</v>
      </c>
      <c r="D609" t="e">
        <f>MID($F$2,calc!B609,calc!C609-calc!B609)</f>
        <v>#VALUE!</v>
      </c>
    </row>
    <row r="610" spans="2:4" ht="16.5" customHeight="1">
      <c r="B610" s="2" t="e">
        <f t="shared" si="10"/>
        <v>#VALUE!</v>
      </c>
      <c r="C610" t="e">
        <f>FIND(" ",SUBSTITUTE($F$2, CHAR(10), " "),calc!B610)</f>
        <v>#VALUE!</v>
      </c>
      <c r="D610" t="e">
        <f>MID($F$2,calc!B610,calc!C610-calc!B610)</f>
        <v>#VALUE!</v>
      </c>
    </row>
    <row r="611" spans="2:4" ht="16.5" customHeight="1">
      <c r="B611" s="2" t="e">
        <f t="shared" si="10"/>
        <v>#VALUE!</v>
      </c>
      <c r="C611" t="e">
        <f>FIND(" ",SUBSTITUTE($F$2, CHAR(10), " "),calc!B611)</f>
        <v>#VALUE!</v>
      </c>
      <c r="D611" t="e">
        <f>MID($F$2,calc!B611,calc!C611-calc!B611)</f>
        <v>#VALUE!</v>
      </c>
    </row>
    <row r="612" spans="2:4" ht="16.5" customHeight="1">
      <c r="B612" s="2" t="e">
        <f t="shared" si="10"/>
        <v>#VALUE!</v>
      </c>
      <c r="C612" t="e">
        <f>FIND(" ",SUBSTITUTE($F$2, CHAR(10), " "),calc!B612)</f>
        <v>#VALUE!</v>
      </c>
      <c r="D612" t="e">
        <f>MID($F$2,calc!B612,calc!C612-calc!B612)</f>
        <v>#VALUE!</v>
      </c>
    </row>
    <row r="613" spans="2:4" ht="16.5" customHeight="1">
      <c r="B613" s="2" t="e">
        <f t="shared" si="10"/>
        <v>#VALUE!</v>
      </c>
      <c r="C613" t="e">
        <f>FIND(" ",SUBSTITUTE($F$2, CHAR(10), " "),calc!B613)</f>
        <v>#VALUE!</v>
      </c>
      <c r="D613" t="e">
        <f>MID($F$2,calc!B613,calc!C613-calc!B613)</f>
        <v>#VALUE!</v>
      </c>
    </row>
    <row r="614" spans="2:4" ht="16.5" customHeight="1">
      <c r="B614" s="2" t="e">
        <f t="shared" si="10"/>
        <v>#VALUE!</v>
      </c>
      <c r="C614" t="e">
        <f>FIND(" ",SUBSTITUTE($F$2, CHAR(10), " "),calc!B614)</f>
        <v>#VALUE!</v>
      </c>
      <c r="D614" t="e">
        <f>MID($F$2,calc!B614,calc!C614-calc!B614)</f>
        <v>#VALUE!</v>
      </c>
    </row>
    <row r="615" spans="2:4" ht="16.5" customHeight="1">
      <c r="B615" s="2" t="e">
        <f t="shared" si="10"/>
        <v>#VALUE!</v>
      </c>
      <c r="C615" t="e">
        <f>FIND(" ",SUBSTITUTE($F$2, CHAR(10), " "),calc!B615)</f>
        <v>#VALUE!</v>
      </c>
      <c r="D615" t="e">
        <f>MID($F$2,calc!B615,calc!C615-calc!B615)</f>
        <v>#VALUE!</v>
      </c>
    </row>
    <row r="616" spans="2:4" ht="16.5" customHeight="1">
      <c r="B616" s="2" t="e">
        <f t="shared" si="10"/>
        <v>#VALUE!</v>
      </c>
      <c r="C616" t="e">
        <f>FIND(" ",SUBSTITUTE($F$2, CHAR(10), " "),calc!B616)</f>
        <v>#VALUE!</v>
      </c>
      <c r="D616" t="e">
        <f>MID($F$2,calc!B616,calc!C616-calc!B616)</f>
        <v>#VALUE!</v>
      </c>
    </row>
    <row r="617" spans="2:4" ht="16.5" customHeight="1">
      <c r="B617" s="2" t="e">
        <f t="shared" si="10"/>
        <v>#VALUE!</v>
      </c>
      <c r="C617" t="e">
        <f>FIND(" ",SUBSTITUTE($F$2, CHAR(10), " "),calc!B617)</f>
        <v>#VALUE!</v>
      </c>
      <c r="D617" t="e">
        <f>MID($F$2,calc!B617,calc!C617-calc!B617)</f>
        <v>#VALUE!</v>
      </c>
    </row>
    <row r="618" spans="2:4" ht="16.5" customHeight="1">
      <c r="B618" s="2" t="e">
        <f t="shared" si="10"/>
        <v>#VALUE!</v>
      </c>
      <c r="C618" t="e">
        <f>FIND(" ",SUBSTITUTE($F$2, CHAR(10), " "),calc!B618)</f>
        <v>#VALUE!</v>
      </c>
      <c r="D618" t="e">
        <f>MID($F$2,calc!B618,calc!C618-calc!B618)</f>
        <v>#VALUE!</v>
      </c>
    </row>
    <row r="619" spans="2:4" ht="16.5" customHeight="1">
      <c r="B619" s="2" t="e">
        <f t="shared" si="10"/>
        <v>#VALUE!</v>
      </c>
      <c r="C619" t="e">
        <f>FIND(" ",SUBSTITUTE($F$2, CHAR(10), " "),calc!B619)</f>
        <v>#VALUE!</v>
      </c>
      <c r="D619" t="e">
        <f>MID($F$2,calc!B619,calc!C619-calc!B619)</f>
        <v>#VALUE!</v>
      </c>
    </row>
    <row r="620" spans="2:4" ht="16.5" customHeight="1">
      <c r="B620" s="2" t="e">
        <f t="shared" si="10"/>
        <v>#VALUE!</v>
      </c>
      <c r="C620" t="e">
        <f>FIND(" ",SUBSTITUTE($F$2, CHAR(10), " "),calc!B620)</f>
        <v>#VALUE!</v>
      </c>
      <c r="D620" t="e">
        <f>MID($F$2,calc!B620,calc!C620-calc!B620)</f>
        <v>#VALUE!</v>
      </c>
    </row>
    <row r="621" spans="2:4" ht="16.5" customHeight="1">
      <c r="B621" s="2" t="e">
        <f t="shared" si="10"/>
        <v>#VALUE!</v>
      </c>
      <c r="C621" t="e">
        <f>FIND(" ",SUBSTITUTE($F$2, CHAR(10), " "),calc!B621)</f>
        <v>#VALUE!</v>
      </c>
      <c r="D621" t="e">
        <f>MID($F$2,calc!B621,calc!C621-calc!B621)</f>
        <v>#VALUE!</v>
      </c>
    </row>
    <row r="622" spans="2:4" ht="16.5" customHeight="1">
      <c r="B622" s="2" t="e">
        <f t="shared" si="10"/>
        <v>#VALUE!</v>
      </c>
      <c r="C622" t="e">
        <f>FIND(" ",SUBSTITUTE($F$2, CHAR(10), " "),calc!B622)</f>
        <v>#VALUE!</v>
      </c>
      <c r="D622" t="e">
        <f>MID($F$2,calc!B622,calc!C622-calc!B622)</f>
        <v>#VALUE!</v>
      </c>
    </row>
    <row r="623" spans="2:4" ht="16.5" customHeight="1">
      <c r="B623" s="2" t="e">
        <f t="shared" si="10"/>
        <v>#VALUE!</v>
      </c>
      <c r="C623" t="e">
        <f>FIND(" ",SUBSTITUTE($F$2, CHAR(10), " "),calc!B623)</f>
        <v>#VALUE!</v>
      </c>
      <c r="D623" t="e">
        <f>MID($F$2,calc!B623,calc!C623-calc!B623)</f>
        <v>#VALUE!</v>
      </c>
    </row>
    <row r="624" spans="2:4" ht="16.5" customHeight="1">
      <c r="B624" s="2" t="e">
        <f t="shared" si="10"/>
        <v>#VALUE!</v>
      </c>
      <c r="C624" t="e">
        <f>FIND(" ",SUBSTITUTE($F$2, CHAR(10), " "),calc!B624)</f>
        <v>#VALUE!</v>
      </c>
      <c r="D624" t="e">
        <f>MID($F$2,calc!B624,calc!C624-calc!B624)</f>
        <v>#VALUE!</v>
      </c>
    </row>
    <row r="625" spans="2:4" ht="16.5" customHeight="1">
      <c r="B625" s="2" t="e">
        <f t="shared" si="10"/>
        <v>#VALUE!</v>
      </c>
      <c r="C625" t="e">
        <f>FIND(" ",SUBSTITUTE($F$2, CHAR(10), " "),calc!B625)</f>
        <v>#VALUE!</v>
      </c>
      <c r="D625" t="e">
        <f>MID($F$2,calc!B625,calc!C625-calc!B625)</f>
        <v>#VALUE!</v>
      </c>
    </row>
    <row r="626" spans="2:4" ht="16.5" customHeight="1">
      <c r="B626" s="2" t="e">
        <f t="shared" si="10"/>
        <v>#VALUE!</v>
      </c>
      <c r="C626" t="e">
        <f>FIND(" ",SUBSTITUTE($F$2, CHAR(10), " "),calc!B626)</f>
        <v>#VALUE!</v>
      </c>
      <c r="D626" t="e">
        <f>MID($F$2,calc!B626,calc!C626-calc!B626)</f>
        <v>#VALUE!</v>
      </c>
    </row>
    <row r="627" spans="2:4" ht="16.5" customHeight="1">
      <c r="B627" s="2" t="e">
        <f t="shared" si="10"/>
        <v>#VALUE!</v>
      </c>
      <c r="C627" t="e">
        <f>FIND(" ",SUBSTITUTE($F$2, CHAR(10), " "),calc!B627)</f>
        <v>#VALUE!</v>
      </c>
      <c r="D627" t="e">
        <f>MID($F$2,calc!B627,calc!C627-calc!B627)</f>
        <v>#VALUE!</v>
      </c>
    </row>
    <row r="628" spans="2:4" ht="16.5" customHeight="1">
      <c r="B628" s="2" t="e">
        <f t="shared" si="10"/>
        <v>#VALUE!</v>
      </c>
      <c r="C628" t="e">
        <f>FIND(" ",SUBSTITUTE($F$2, CHAR(10), " "),calc!B628)</f>
        <v>#VALUE!</v>
      </c>
      <c r="D628" t="e">
        <f>MID($F$2,calc!B628,calc!C628-calc!B628)</f>
        <v>#VALUE!</v>
      </c>
    </row>
    <row r="629" spans="2:4" ht="16.5" customHeight="1">
      <c r="B629" s="2" t="e">
        <f t="shared" si="10"/>
        <v>#VALUE!</v>
      </c>
      <c r="C629" t="e">
        <f>FIND(" ",SUBSTITUTE($F$2, CHAR(10), " "),calc!B629)</f>
        <v>#VALUE!</v>
      </c>
      <c r="D629" t="e">
        <f>MID($F$2,calc!B629,calc!C629-calc!B629)</f>
        <v>#VALUE!</v>
      </c>
    </row>
    <row r="630" spans="2:4" ht="16.5" customHeight="1">
      <c r="B630" s="2" t="e">
        <f t="shared" si="10"/>
        <v>#VALUE!</v>
      </c>
      <c r="C630" t="e">
        <f>FIND(" ",SUBSTITUTE($F$2, CHAR(10), " "),calc!B630)</f>
        <v>#VALUE!</v>
      </c>
      <c r="D630" t="e">
        <f>MID($F$2,calc!B630,calc!C630-calc!B630)</f>
        <v>#VALUE!</v>
      </c>
    </row>
    <row r="631" spans="2:4" ht="16.5" customHeight="1">
      <c r="B631" s="2" t="e">
        <f t="shared" si="10"/>
        <v>#VALUE!</v>
      </c>
      <c r="C631" t="e">
        <f>FIND(" ",SUBSTITUTE($F$2, CHAR(10), " "),calc!B631)</f>
        <v>#VALUE!</v>
      </c>
      <c r="D631" t="e">
        <f>MID($F$2,calc!B631,calc!C631-calc!B631)</f>
        <v>#VALUE!</v>
      </c>
    </row>
    <row r="632" spans="2:4" ht="16.5" customHeight="1">
      <c r="B632" s="2" t="e">
        <f t="shared" si="10"/>
        <v>#VALUE!</v>
      </c>
      <c r="C632" t="e">
        <f>FIND(" ",SUBSTITUTE($F$2, CHAR(10), " "),calc!B632)</f>
        <v>#VALUE!</v>
      </c>
      <c r="D632" t="e">
        <f>MID($F$2,calc!B632,calc!C632-calc!B632)</f>
        <v>#VALUE!</v>
      </c>
    </row>
    <row r="633" spans="2:4" ht="16.5" customHeight="1">
      <c r="B633" s="2" t="e">
        <f t="shared" si="10"/>
        <v>#VALUE!</v>
      </c>
      <c r="C633" t="e">
        <f>FIND(" ",SUBSTITUTE($F$2, CHAR(10), " "),calc!B633)</f>
        <v>#VALUE!</v>
      </c>
      <c r="D633" t="e">
        <f>MID($F$2,calc!B633,calc!C633-calc!B633)</f>
        <v>#VALUE!</v>
      </c>
    </row>
    <row r="634" spans="2:4" ht="16.5" customHeight="1">
      <c r="B634" s="2" t="e">
        <f t="shared" si="10"/>
        <v>#VALUE!</v>
      </c>
      <c r="C634" t="e">
        <f>FIND(" ",SUBSTITUTE($F$2, CHAR(10), " "),calc!B634)</f>
        <v>#VALUE!</v>
      </c>
      <c r="D634" t="e">
        <f>MID($F$2,calc!B634,calc!C634-calc!B634)</f>
        <v>#VALUE!</v>
      </c>
    </row>
    <row r="635" spans="2:4" ht="16.5" customHeight="1">
      <c r="B635" s="2" t="e">
        <f t="shared" si="10"/>
        <v>#VALUE!</v>
      </c>
      <c r="C635" t="e">
        <f>FIND(" ",SUBSTITUTE($F$2, CHAR(10), " "),calc!B635)</f>
        <v>#VALUE!</v>
      </c>
      <c r="D635" t="e">
        <f>MID($F$2,calc!B635,calc!C635-calc!B635)</f>
        <v>#VALUE!</v>
      </c>
    </row>
    <row r="636" spans="2:4" ht="16.5" customHeight="1">
      <c r="B636" s="2" t="e">
        <f t="shared" si="10"/>
        <v>#VALUE!</v>
      </c>
      <c r="C636" t="e">
        <f>FIND(" ",SUBSTITUTE($F$2, CHAR(10), " "),calc!B636)</f>
        <v>#VALUE!</v>
      </c>
      <c r="D636" t="e">
        <f>MID($F$2,calc!B636,calc!C636-calc!B636)</f>
        <v>#VALUE!</v>
      </c>
    </row>
    <row r="637" spans="2:4" ht="16.5" customHeight="1">
      <c r="B637" s="2" t="e">
        <f t="shared" si="10"/>
        <v>#VALUE!</v>
      </c>
      <c r="C637" t="e">
        <f>FIND(" ",SUBSTITUTE($F$2, CHAR(10), " "),calc!B637)</f>
        <v>#VALUE!</v>
      </c>
      <c r="D637" t="e">
        <f>MID($F$2,calc!B637,calc!C637-calc!B637)</f>
        <v>#VALUE!</v>
      </c>
    </row>
    <row r="638" spans="2:4" ht="16.5" customHeight="1">
      <c r="B638" s="2" t="e">
        <f t="shared" si="10"/>
        <v>#VALUE!</v>
      </c>
      <c r="C638" t="e">
        <f>FIND(" ",SUBSTITUTE($F$2, CHAR(10), " "),calc!B638)</f>
        <v>#VALUE!</v>
      </c>
      <c r="D638" t="e">
        <f>MID($F$2,calc!B638,calc!C638-calc!B638)</f>
        <v>#VALUE!</v>
      </c>
    </row>
    <row r="639" spans="2:4" ht="16.5" customHeight="1">
      <c r="B639" s="2" t="e">
        <f t="shared" si="10"/>
        <v>#VALUE!</v>
      </c>
      <c r="C639" t="e">
        <f>FIND(" ",SUBSTITUTE($F$2, CHAR(10), " "),calc!B639)</f>
        <v>#VALUE!</v>
      </c>
      <c r="D639" t="e">
        <f>MID($F$2,calc!B639,calc!C639-calc!B639)</f>
        <v>#VALUE!</v>
      </c>
    </row>
    <row r="640" spans="2:4" ht="16.5" customHeight="1">
      <c r="B640" s="2" t="e">
        <f t="shared" si="10"/>
        <v>#VALUE!</v>
      </c>
      <c r="C640" t="e">
        <f>FIND(" ",SUBSTITUTE($F$2, CHAR(10), " "),calc!B640)</f>
        <v>#VALUE!</v>
      </c>
      <c r="D640" t="e">
        <f>MID($F$2,calc!B640,calc!C640-calc!B640)</f>
        <v>#VALUE!</v>
      </c>
    </row>
    <row r="641" spans="2:4" ht="16.5" customHeight="1">
      <c r="B641" s="2" t="e">
        <f t="shared" si="10"/>
        <v>#VALUE!</v>
      </c>
      <c r="C641" t="e">
        <f>FIND(" ",SUBSTITUTE($F$2, CHAR(10), " "),calc!B641)</f>
        <v>#VALUE!</v>
      </c>
      <c r="D641" t="e">
        <f>MID($F$2,calc!B641,calc!C641-calc!B641)</f>
        <v>#VALUE!</v>
      </c>
    </row>
    <row r="642" spans="2:4" ht="16.5" customHeight="1">
      <c r="B642" s="2" t="e">
        <f t="shared" si="10"/>
        <v>#VALUE!</v>
      </c>
      <c r="C642" t="e">
        <f>FIND(" ",SUBSTITUTE($F$2, CHAR(10), " "),calc!B642)</f>
        <v>#VALUE!</v>
      </c>
      <c r="D642" t="e">
        <f>MID($F$2,calc!B642,calc!C642-calc!B642)</f>
        <v>#VALUE!</v>
      </c>
    </row>
    <row r="643" spans="2:4" ht="16.5" customHeight="1">
      <c r="B643" s="2" t="e">
        <f t="shared" ref="B643:B706" si="11">FIND("#", $F$2, B642 +1)</f>
        <v>#VALUE!</v>
      </c>
      <c r="C643" t="e">
        <f>FIND(" ",SUBSTITUTE($F$2, CHAR(10), " "),calc!B643)</f>
        <v>#VALUE!</v>
      </c>
      <c r="D643" t="e">
        <f>MID($F$2,calc!B643,calc!C643-calc!B643)</f>
        <v>#VALUE!</v>
      </c>
    </row>
    <row r="644" spans="2:4" ht="16.5" customHeight="1">
      <c r="B644" s="2" t="e">
        <f t="shared" si="11"/>
        <v>#VALUE!</v>
      </c>
      <c r="C644" t="e">
        <f>FIND(" ",SUBSTITUTE($F$2, CHAR(10), " "),calc!B644)</f>
        <v>#VALUE!</v>
      </c>
      <c r="D644" t="e">
        <f>MID($F$2,calc!B644,calc!C644-calc!B644)</f>
        <v>#VALUE!</v>
      </c>
    </row>
    <row r="645" spans="2:4" ht="16.5" customHeight="1">
      <c r="B645" s="2" t="e">
        <f t="shared" si="11"/>
        <v>#VALUE!</v>
      </c>
      <c r="C645" t="e">
        <f>FIND(" ",SUBSTITUTE($F$2, CHAR(10), " "),calc!B645)</f>
        <v>#VALUE!</v>
      </c>
      <c r="D645" t="e">
        <f>MID($F$2,calc!B645,calc!C645-calc!B645)</f>
        <v>#VALUE!</v>
      </c>
    </row>
    <row r="646" spans="2:4" ht="16.5" customHeight="1">
      <c r="B646" s="2" t="e">
        <f t="shared" si="11"/>
        <v>#VALUE!</v>
      </c>
      <c r="C646" t="e">
        <f>FIND(" ",SUBSTITUTE($F$2, CHAR(10), " "),calc!B646)</f>
        <v>#VALUE!</v>
      </c>
      <c r="D646" t="e">
        <f>MID($F$2,calc!B646,calc!C646-calc!B646)</f>
        <v>#VALUE!</v>
      </c>
    </row>
    <row r="647" spans="2:4" ht="16.5" customHeight="1">
      <c r="B647" s="2" t="e">
        <f t="shared" si="11"/>
        <v>#VALUE!</v>
      </c>
      <c r="C647" t="e">
        <f>FIND(" ",SUBSTITUTE($F$2, CHAR(10), " "),calc!B647)</f>
        <v>#VALUE!</v>
      </c>
      <c r="D647" t="e">
        <f>MID($F$2,calc!B647,calc!C647-calc!B647)</f>
        <v>#VALUE!</v>
      </c>
    </row>
    <row r="648" spans="2:4" ht="16.5" customHeight="1">
      <c r="B648" s="2" t="e">
        <f t="shared" si="11"/>
        <v>#VALUE!</v>
      </c>
      <c r="C648" t="e">
        <f>FIND(" ",SUBSTITUTE($F$2, CHAR(10), " "),calc!B648)</f>
        <v>#VALUE!</v>
      </c>
      <c r="D648" t="e">
        <f>MID($F$2,calc!B648,calc!C648-calc!B648)</f>
        <v>#VALUE!</v>
      </c>
    </row>
    <row r="649" spans="2:4" ht="16.5" customHeight="1">
      <c r="B649" s="2" t="e">
        <f t="shared" si="11"/>
        <v>#VALUE!</v>
      </c>
      <c r="C649" t="e">
        <f>FIND(" ",SUBSTITUTE($F$2, CHAR(10), " "),calc!B649)</f>
        <v>#VALUE!</v>
      </c>
      <c r="D649" t="e">
        <f>MID($F$2,calc!B649,calc!C649-calc!B649)</f>
        <v>#VALUE!</v>
      </c>
    </row>
    <row r="650" spans="2:4" ht="16.5" customHeight="1">
      <c r="B650" s="2" t="e">
        <f t="shared" si="11"/>
        <v>#VALUE!</v>
      </c>
      <c r="C650" t="e">
        <f>FIND(" ",SUBSTITUTE($F$2, CHAR(10), " "),calc!B650)</f>
        <v>#VALUE!</v>
      </c>
      <c r="D650" t="e">
        <f>MID($F$2,calc!B650,calc!C650-calc!B650)</f>
        <v>#VALUE!</v>
      </c>
    </row>
    <row r="651" spans="2:4" ht="16.5" customHeight="1">
      <c r="B651" s="2" t="e">
        <f t="shared" si="11"/>
        <v>#VALUE!</v>
      </c>
      <c r="C651" t="e">
        <f>FIND(" ",SUBSTITUTE($F$2, CHAR(10), " "),calc!B651)</f>
        <v>#VALUE!</v>
      </c>
      <c r="D651" t="e">
        <f>MID($F$2,calc!B651,calc!C651-calc!B651)</f>
        <v>#VALUE!</v>
      </c>
    </row>
    <row r="652" spans="2:4" ht="16.5" customHeight="1">
      <c r="B652" s="2" t="e">
        <f t="shared" si="11"/>
        <v>#VALUE!</v>
      </c>
      <c r="C652" t="e">
        <f>FIND(" ",SUBSTITUTE($F$2, CHAR(10), " "),calc!B652)</f>
        <v>#VALUE!</v>
      </c>
      <c r="D652" t="e">
        <f>MID($F$2,calc!B652,calc!C652-calc!B652)</f>
        <v>#VALUE!</v>
      </c>
    </row>
    <row r="653" spans="2:4" ht="16.5" customHeight="1">
      <c r="B653" s="2" t="e">
        <f t="shared" si="11"/>
        <v>#VALUE!</v>
      </c>
      <c r="C653" t="e">
        <f>FIND(" ",SUBSTITUTE($F$2, CHAR(10), " "),calc!B653)</f>
        <v>#VALUE!</v>
      </c>
      <c r="D653" t="e">
        <f>MID($F$2,calc!B653,calc!C653-calc!B653)</f>
        <v>#VALUE!</v>
      </c>
    </row>
    <row r="654" spans="2:4" ht="16.5" customHeight="1">
      <c r="B654" s="2" t="e">
        <f t="shared" si="11"/>
        <v>#VALUE!</v>
      </c>
      <c r="C654" t="e">
        <f>FIND(" ",SUBSTITUTE($F$2, CHAR(10), " "),calc!B654)</f>
        <v>#VALUE!</v>
      </c>
      <c r="D654" t="e">
        <f>MID($F$2,calc!B654,calc!C654-calc!B654)</f>
        <v>#VALUE!</v>
      </c>
    </row>
    <row r="655" spans="2:4" ht="16.5" customHeight="1">
      <c r="B655" s="2" t="e">
        <f t="shared" si="11"/>
        <v>#VALUE!</v>
      </c>
      <c r="C655" t="e">
        <f>FIND(" ",SUBSTITUTE($F$2, CHAR(10), " "),calc!B655)</f>
        <v>#VALUE!</v>
      </c>
      <c r="D655" t="e">
        <f>MID($F$2,calc!B655,calc!C655-calc!B655)</f>
        <v>#VALUE!</v>
      </c>
    </row>
    <row r="656" spans="2:4" ht="16.5" customHeight="1">
      <c r="B656" s="2" t="e">
        <f t="shared" si="11"/>
        <v>#VALUE!</v>
      </c>
      <c r="C656" t="e">
        <f>FIND(" ",SUBSTITUTE($F$2, CHAR(10), " "),calc!B656)</f>
        <v>#VALUE!</v>
      </c>
      <c r="D656" t="e">
        <f>MID($F$2,calc!B656,calc!C656-calc!B656)</f>
        <v>#VALUE!</v>
      </c>
    </row>
    <row r="657" spans="2:4" ht="16.5" customHeight="1">
      <c r="B657" s="2" t="e">
        <f t="shared" si="11"/>
        <v>#VALUE!</v>
      </c>
      <c r="C657" t="e">
        <f>FIND(" ",SUBSTITUTE($F$2, CHAR(10), " "),calc!B657)</f>
        <v>#VALUE!</v>
      </c>
      <c r="D657" t="e">
        <f>MID($F$2,calc!B657,calc!C657-calc!B657)</f>
        <v>#VALUE!</v>
      </c>
    </row>
    <row r="658" spans="2:4" ht="16.5" customHeight="1">
      <c r="B658" s="2" t="e">
        <f t="shared" si="11"/>
        <v>#VALUE!</v>
      </c>
      <c r="C658" t="e">
        <f>FIND(" ",SUBSTITUTE($F$2, CHAR(10), " "),calc!B658)</f>
        <v>#VALUE!</v>
      </c>
      <c r="D658" t="e">
        <f>MID($F$2,calc!B658,calc!C658-calc!B658)</f>
        <v>#VALUE!</v>
      </c>
    </row>
    <row r="659" spans="2:4" ht="16.5" customHeight="1">
      <c r="B659" s="2" t="e">
        <f t="shared" si="11"/>
        <v>#VALUE!</v>
      </c>
      <c r="C659" t="e">
        <f>FIND(" ",SUBSTITUTE($F$2, CHAR(10), " "),calc!B659)</f>
        <v>#VALUE!</v>
      </c>
      <c r="D659" t="e">
        <f>MID($F$2,calc!B659,calc!C659-calc!B659)</f>
        <v>#VALUE!</v>
      </c>
    </row>
    <row r="660" spans="2:4" ht="16.5" customHeight="1">
      <c r="B660" s="2" t="e">
        <f t="shared" si="11"/>
        <v>#VALUE!</v>
      </c>
      <c r="C660" t="e">
        <f>FIND(" ",SUBSTITUTE($F$2, CHAR(10), " "),calc!B660)</f>
        <v>#VALUE!</v>
      </c>
      <c r="D660" t="e">
        <f>MID($F$2,calc!B660,calc!C660-calc!B660)</f>
        <v>#VALUE!</v>
      </c>
    </row>
    <row r="661" spans="2:4" ht="16.5" customHeight="1">
      <c r="B661" s="2" t="e">
        <f t="shared" si="11"/>
        <v>#VALUE!</v>
      </c>
      <c r="C661" t="e">
        <f>FIND(" ",SUBSTITUTE($F$2, CHAR(10), " "),calc!B661)</f>
        <v>#VALUE!</v>
      </c>
      <c r="D661" t="e">
        <f>MID($F$2,calc!B661,calc!C661-calc!B661)</f>
        <v>#VALUE!</v>
      </c>
    </row>
    <row r="662" spans="2:4" ht="16.5" customHeight="1">
      <c r="B662" s="2" t="e">
        <f t="shared" si="11"/>
        <v>#VALUE!</v>
      </c>
      <c r="C662" t="e">
        <f>FIND(" ",SUBSTITUTE($F$2, CHAR(10), " "),calc!B662)</f>
        <v>#VALUE!</v>
      </c>
      <c r="D662" t="e">
        <f>MID($F$2,calc!B662,calc!C662-calc!B662)</f>
        <v>#VALUE!</v>
      </c>
    </row>
    <row r="663" spans="2:4" ht="16.5" customHeight="1">
      <c r="B663" s="2" t="e">
        <f t="shared" si="11"/>
        <v>#VALUE!</v>
      </c>
      <c r="C663" t="e">
        <f>FIND(" ",SUBSTITUTE($F$2, CHAR(10), " "),calc!B663)</f>
        <v>#VALUE!</v>
      </c>
      <c r="D663" t="e">
        <f>MID($F$2,calc!B663,calc!C663-calc!B663)</f>
        <v>#VALUE!</v>
      </c>
    </row>
    <row r="664" spans="2:4" ht="16.5" customHeight="1">
      <c r="B664" s="2" t="e">
        <f t="shared" si="11"/>
        <v>#VALUE!</v>
      </c>
      <c r="C664" t="e">
        <f>FIND(" ",SUBSTITUTE($F$2, CHAR(10), " "),calc!B664)</f>
        <v>#VALUE!</v>
      </c>
      <c r="D664" t="e">
        <f>MID($F$2,calc!B664,calc!C664-calc!B664)</f>
        <v>#VALUE!</v>
      </c>
    </row>
    <row r="665" spans="2:4" ht="16.5" customHeight="1">
      <c r="B665" s="2" t="e">
        <f t="shared" si="11"/>
        <v>#VALUE!</v>
      </c>
      <c r="C665" t="e">
        <f>FIND(" ",SUBSTITUTE($F$2, CHAR(10), " "),calc!B665)</f>
        <v>#VALUE!</v>
      </c>
      <c r="D665" t="e">
        <f>MID($F$2,calc!B665,calc!C665-calc!B665)</f>
        <v>#VALUE!</v>
      </c>
    </row>
    <row r="666" spans="2:4" ht="16.5" customHeight="1">
      <c r="B666" s="2" t="e">
        <f t="shared" si="11"/>
        <v>#VALUE!</v>
      </c>
      <c r="C666" t="e">
        <f>FIND(" ",SUBSTITUTE($F$2, CHAR(10), " "),calc!B666)</f>
        <v>#VALUE!</v>
      </c>
      <c r="D666" t="e">
        <f>MID($F$2,calc!B666,calc!C666-calc!B666)</f>
        <v>#VALUE!</v>
      </c>
    </row>
    <row r="667" spans="2:4" ht="16.5" customHeight="1">
      <c r="B667" s="2" t="e">
        <f t="shared" si="11"/>
        <v>#VALUE!</v>
      </c>
      <c r="C667" t="e">
        <f>FIND(" ",SUBSTITUTE($F$2, CHAR(10), " "),calc!B667)</f>
        <v>#VALUE!</v>
      </c>
      <c r="D667" t="e">
        <f>MID($F$2,calc!B667,calc!C667-calc!B667)</f>
        <v>#VALUE!</v>
      </c>
    </row>
    <row r="668" spans="2:4" ht="16.5" customHeight="1">
      <c r="B668" s="2" t="e">
        <f t="shared" si="11"/>
        <v>#VALUE!</v>
      </c>
      <c r="C668" t="e">
        <f>FIND(" ",SUBSTITUTE($F$2, CHAR(10), " "),calc!B668)</f>
        <v>#VALUE!</v>
      </c>
      <c r="D668" t="e">
        <f>MID($F$2,calc!B668,calc!C668-calc!B668)</f>
        <v>#VALUE!</v>
      </c>
    </row>
    <row r="669" spans="2:4" ht="16.5" customHeight="1">
      <c r="B669" s="2" t="e">
        <f t="shared" si="11"/>
        <v>#VALUE!</v>
      </c>
      <c r="C669" t="e">
        <f>FIND(" ",SUBSTITUTE($F$2, CHAR(10), " "),calc!B669)</f>
        <v>#VALUE!</v>
      </c>
      <c r="D669" t="e">
        <f>MID($F$2,calc!B669,calc!C669-calc!B669)</f>
        <v>#VALUE!</v>
      </c>
    </row>
    <row r="670" spans="2:4" ht="16.5" customHeight="1">
      <c r="B670" s="2" t="e">
        <f t="shared" si="11"/>
        <v>#VALUE!</v>
      </c>
      <c r="C670" t="e">
        <f>FIND(" ",SUBSTITUTE($F$2, CHAR(10), " "),calc!B670)</f>
        <v>#VALUE!</v>
      </c>
      <c r="D670" t="e">
        <f>MID($F$2,calc!B670,calc!C670-calc!B670)</f>
        <v>#VALUE!</v>
      </c>
    </row>
    <row r="671" spans="2:4" ht="16.5" customHeight="1">
      <c r="B671" s="2" t="e">
        <f t="shared" si="11"/>
        <v>#VALUE!</v>
      </c>
      <c r="C671" t="e">
        <f>FIND(" ",SUBSTITUTE($F$2, CHAR(10), " "),calc!B671)</f>
        <v>#VALUE!</v>
      </c>
      <c r="D671" t="e">
        <f>MID($F$2,calc!B671,calc!C671-calc!B671)</f>
        <v>#VALUE!</v>
      </c>
    </row>
    <row r="672" spans="2:4" ht="16.5" customHeight="1">
      <c r="B672" s="2" t="e">
        <f t="shared" si="11"/>
        <v>#VALUE!</v>
      </c>
      <c r="C672" t="e">
        <f>FIND(" ",SUBSTITUTE($F$2, CHAR(10), " "),calc!B672)</f>
        <v>#VALUE!</v>
      </c>
      <c r="D672" t="e">
        <f>MID($F$2,calc!B672,calc!C672-calc!B672)</f>
        <v>#VALUE!</v>
      </c>
    </row>
    <row r="673" spans="2:4" ht="16.5" customHeight="1">
      <c r="B673" s="2" t="e">
        <f t="shared" si="11"/>
        <v>#VALUE!</v>
      </c>
      <c r="C673" t="e">
        <f>FIND(" ",SUBSTITUTE($F$2, CHAR(10), " "),calc!B673)</f>
        <v>#VALUE!</v>
      </c>
      <c r="D673" t="e">
        <f>MID($F$2,calc!B673,calc!C673-calc!B673)</f>
        <v>#VALUE!</v>
      </c>
    </row>
    <row r="674" spans="2:4" ht="16.5" customHeight="1">
      <c r="B674" s="2" t="e">
        <f t="shared" si="11"/>
        <v>#VALUE!</v>
      </c>
      <c r="C674" t="e">
        <f>FIND(" ",SUBSTITUTE($F$2, CHAR(10), " "),calc!B674)</f>
        <v>#VALUE!</v>
      </c>
      <c r="D674" t="e">
        <f>MID($F$2,calc!B674,calc!C674-calc!B674)</f>
        <v>#VALUE!</v>
      </c>
    </row>
    <row r="675" spans="2:4" ht="16.5" customHeight="1">
      <c r="B675" s="2" t="e">
        <f t="shared" si="11"/>
        <v>#VALUE!</v>
      </c>
      <c r="C675" t="e">
        <f>FIND(" ",SUBSTITUTE($F$2, CHAR(10), " "),calc!B675)</f>
        <v>#VALUE!</v>
      </c>
      <c r="D675" t="e">
        <f>MID($F$2,calc!B675,calc!C675-calc!B675)</f>
        <v>#VALUE!</v>
      </c>
    </row>
    <row r="676" spans="2:4" ht="16.5" customHeight="1">
      <c r="B676" s="2" t="e">
        <f t="shared" si="11"/>
        <v>#VALUE!</v>
      </c>
      <c r="C676" t="e">
        <f>FIND(" ",SUBSTITUTE($F$2, CHAR(10), " "),calc!B676)</f>
        <v>#VALUE!</v>
      </c>
      <c r="D676" t="e">
        <f>MID($F$2,calc!B676,calc!C676-calc!B676)</f>
        <v>#VALUE!</v>
      </c>
    </row>
    <row r="677" spans="2:4" ht="16.5" customHeight="1">
      <c r="B677" s="2" t="e">
        <f t="shared" si="11"/>
        <v>#VALUE!</v>
      </c>
      <c r="C677" t="e">
        <f>FIND(" ",SUBSTITUTE($F$2, CHAR(10), " "),calc!B677)</f>
        <v>#VALUE!</v>
      </c>
      <c r="D677" t="e">
        <f>MID($F$2,calc!B677,calc!C677-calc!B677)</f>
        <v>#VALUE!</v>
      </c>
    </row>
    <row r="678" spans="2:4" ht="16.5" customHeight="1">
      <c r="B678" s="2" t="e">
        <f t="shared" si="11"/>
        <v>#VALUE!</v>
      </c>
      <c r="C678" t="e">
        <f>FIND(" ",SUBSTITUTE($F$2, CHAR(10), " "),calc!B678)</f>
        <v>#VALUE!</v>
      </c>
      <c r="D678" t="e">
        <f>MID($F$2,calc!B678,calc!C678-calc!B678)</f>
        <v>#VALUE!</v>
      </c>
    </row>
    <row r="679" spans="2:4" ht="16.5" customHeight="1">
      <c r="B679" s="2" t="e">
        <f t="shared" si="11"/>
        <v>#VALUE!</v>
      </c>
      <c r="C679" t="e">
        <f>FIND(" ",SUBSTITUTE($F$2, CHAR(10), " "),calc!B679)</f>
        <v>#VALUE!</v>
      </c>
      <c r="D679" t="e">
        <f>MID($F$2,calc!B679,calc!C679-calc!B679)</f>
        <v>#VALUE!</v>
      </c>
    </row>
    <row r="680" spans="2:4" ht="16.5" customHeight="1">
      <c r="B680" s="2" t="e">
        <f t="shared" si="11"/>
        <v>#VALUE!</v>
      </c>
      <c r="C680" t="e">
        <f>FIND(" ",SUBSTITUTE($F$2, CHAR(10), " "),calc!B680)</f>
        <v>#VALUE!</v>
      </c>
      <c r="D680" t="e">
        <f>MID($F$2,calc!B680,calc!C680-calc!B680)</f>
        <v>#VALUE!</v>
      </c>
    </row>
    <row r="681" spans="2:4" ht="16.5" customHeight="1">
      <c r="B681" s="2" t="e">
        <f t="shared" si="11"/>
        <v>#VALUE!</v>
      </c>
      <c r="C681" t="e">
        <f>FIND(" ",SUBSTITUTE($F$2, CHAR(10), " "),calc!B681)</f>
        <v>#VALUE!</v>
      </c>
      <c r="D681" t="e">
        <f>MID($F$2,calc!B681,calc!C681-calc!B681)</f>
        <v>#VALUE!</v>
      </c>
    </row>
    <row r="682" spans="2:4" ht="16.5" customHeight="1">
      <c r="B682" s="2" t="e">
        <f t="shared" si="11"/>
        <v>#VALUE!</v>
      </c>
      <c r="C682" t="e">
        <f>FIND(" ",SUBSTITUTE($F$2, CHAR(10), " "),calc!B682)</f>
        <v>#VALUE!</v>
      </c>
      <c r="D682" t="e">
        <f>MID($F$2,calc!B682,calc!C682-calc!B682)</f>
        <v>#VALUE!</v>
      </c>
    </row>
    <row r="683" spans="2:4" ht="16.5" customHeight="1">
      <c r="B683" s="2" t="e">
        <f t="shared" si="11"/>
        <v>#VALUE!</v>
      </c>
      <c r="C683" t="e">
        <f>FIND(" ",SUBSTITUTE($F$2, CHAR(10), " "),calc!B683)</f>
        <v>#VALUE!</v>
      </c>
      <c r="D683" t="e">
        <f>MID($F$2,calc!B683,calc!C683-calc!B683)</f>
        <v>#VALUE!</v>
      </c>
    </row>
    <row r="684" spans="2:4" ht="16.5" customHeight="1">
      <c r="B684" s="2" t="e">
        <f t="shared" si="11"/>
        <v>#VALUE!</v>
      </c>
      <c r="C684" t="e">
        <f>FIND(" ",SUBSTITUTE($F$2, CHAR(10), " "),calc!B684)</f>
        <v>#VALUE!</v>
      </c>
      <c r="D684" t="e">
        <f>MID($F$2,calc!B684,calc!C684-calc!B684)</f>
        <v>#VALUE!</v>
      </c>
    </row>
    <row r="685" spans="2:4" ht="16.5" customHeight="1">
      <c r="B685" s="2" t="e">
        <f t="shared" si="11"/>
        <v>#VALUE!</v>
      </c>
      <c r="C685" t="e">
        <f>FIND(" ",SUBSTITUTE($F$2, CHAR(10), " "),calc!B685)</f>
        <v>#VALUE!</v>
      </c>
      <c r="D685" t="e">
        <f>MID($F$2,calc!B685,calc!C685-calc!B685)</f>
        <v>#VALUE!</v>
      </c>
    </row>
    <row r="686" spans="2:4" ht="16.5" customHeight="1">
      <c r="B686" s="2" t="e">
        <f t="shared" si="11"/>
        <v>#VALUE!</v>
      </c>
      <c r="C686" t="e">
        <f>FIND(" ",SUBSTITUTE($F$2, CHAR(10), " "),calc!B686)</f>
        <v>#VALUE!</v>
      </c>
      <c r="D686" t="e">
        <f>MID($F$2,calc!B686,calc!C686-calc!B686)</f>
        <v>#VALUE!</v>
      </c>
    </row>
    <row r="687" spans="2:4" ht="16.5" customHeight="1">
      <c r="B687" s="2" t="e">
        <f t="shared" si="11"/>
        <v>#VALUE!</v>
      </c>
      <c r="C687" t="e">
        <f>FIND(" ",SUBSTITUTE($F$2, CHAR(10), " "),calc!B687)</f>
        <v>#VALUE!</v>
      </c>
      <c r="D687" t="e">
        <f>MID($F$2,calc!B687,calc!C687-calc!B687)</f>
        <v>#VALUE!</v>
      </c>
    </row>
    <row r="688" spans="2:4" ht="16.5" customHeight="1">
      <c r="B688" s="2" t="e">
        <f t="shared" si="11"/>
        <v>#VALUE!</v>
      </c>
      <c r="C688" t="e">
        <f>FIND(" ",SUBSTITUTE($F$2, CHAR(10), " "),calc!B688)</f>
        <v>#VALUE!</v>
      </c>
      <c r="D688" t="e">
        <f>MID($F$2,calc!B688,calc!C688-calc!B688)</f>
        <v>#VALUE!</v>
      </c>
    </row>
    <row r="689" spans="2:4" ht="16.5" customHeight="1">
      <c r="B689" s="2" t="e">
        <f t="shared" si="11"/>
        <v>#VALUE!</v>
      </c>
      <c r="C689" t="e">
        <f>FIND(" ",SUBSTITUTE($F$2, CHAR(10), " "),calc!B689)</f>
        <v>#VALUE!</v>
      </c>
      <c r="D689" t="e">
        <f>MID($F$2,calc!B689,calc!C689-calc!B689)</f>
        <v>#VALUE!</v>
      </c>
    </row>
    <row r="690" spans="2:4" ht="16.5" customHeight="1">
      <c r="B690" s="2" t="e">
        <f t="shared" si="11"/>
        <v>#VALUE!</v>
      </c>
      <c r="C690" t="e">
        <f>FIND(" ",SUBSTITUTE($F$2, CHAR(10), " "),calc!B690)</f>
        <v>#VALUE!</v>
      </c>
      <c r="D690" t="e">
        <f>MID($F$2,calc!B690,calc!C690-calc!B690)</f>
        <v>#VALUE!</v>
      </c>
    </row>
    <row r="691" spans="2:4" ht="16.5" customHeight="1">
      <c r="B691" s="2" t="e">
        <f t="shared" si="11"/>
        <v>#VALUE!</v>
      </c>
      <c r="C691" t="e">
        <f>FIND(" ",SUBSTITUTE($F$2, CHAR(10), " "),calc!B691)</f>
        <v>#VALUE!</v>
      </c>
      <c r="D691" t="e">
        <f>MID($F$2,calc!B691,calc!C691-calc!B691)</f>
        <v>#VALUE!</v>
      </c>
    </row>
    <row r="692" spans="2:4" ht="16.5" customHeight="1">
      <c r="B692" s="2" t="e">
        <f t="shared" si="11"/>
        <v>#VALUE!</v>
      </c>
      <c r="C692" t="e">
        <f>FIND(" ",SUBSTITUTE($F$2, CHAR(10), " "),calc!B692)</f>
        <v>#VALUE!</v>
      </c>
      <c r="D692" t="e">
        <f>MID($F$2,calc!B692,calc!C692-calc!B692)</f>
        <v>#VALUE!</v>
      </c>
    </row>
    <row r="693" spans="2:4" ht="16.5" customHeight="1">
      <c r="B693" s="2" t="e">
        <f t="shared" si="11"/>
        <v>#VALUE!</v>
      </c>
      <c r="C693" t="e">
        <f>FIND(" ",SUBSTITUTE($F$2, CHAR(10), " "),calc!B693)</f>
        <v>#VALUE!</v>
      </c>
      <c r="D693" t="e">
        <f>MID($F$2,calc!B693,calc!C693-calc!B693)</f>
        <v>#VALUE!</v>
      </c>
    </row>
    <row r="694" spans="2:4" ht="16.5" customHeight="1">
      <c r="B694" s="2" t="e">
        <f t="shared" si="11"/>
        <v>#VALUE!</v>
      </c>
      <c r="C694" t="e">
        <f>FIND(" ",SUBSTITUTE($F$2, CHAR(10), " "),calc!B694)</f>
        <v>#VALUE!</v>
      </c>
      <c r="D694" t="e">
        <f>MID($F$2,calc!B694,calc!C694-calc!B694)</f>
        <v>#VALUE!</v>
      </c>
    </row>
    <row r="695" spans="2:4" ht="16.5" customHeight="1">
      <c r="B695" s="2" t="e">
        <f t="shared" si="11"/>
        <v>#VALUE!</v>
      </c>
      <c r="C695" t="e">
        <f>FIND(" ",SUBSTITUTE($F$2, CHAR(10), " "),calc!B695)</f>
        <v>#VALUE!</v>
      </c>
      <c r="D695" t="e">
        <f>MID($F$2,calc!B695,calc!C695-calc!B695)</f>
        <v>#VALUE!</v>
      </c>
    </row>
    <row r="696" spans="2:4" ht="16.5" customHeight="1">
      <c r="B696" s="2" t="e">
        <f t="shared" si="11"/>
        <v>#VALUE!</v>
      </c>
      <c r="C696" t="e">
        <f>FIND(" ",SUBSTITUTE($F$2, CHAR(10), " "),calc!B696)</f>
        <v>#VALUE!</v>
      </c>
      <c r="D696" t="e">
        <f>MID($F$2,calc!B696,calc!C696-calc!B696)</f>
        <v>#VALUE!</v>
      </c>
    </row>
    <row r="697" spans="2:4" ht="16.5" customHeight="1">
      <c r="B697" s="2" t="e">
        <f t="shared" si="11"/>
        <v>#VALUE!</v>
      </c>
      <c r="C697" t="e">
        <f>FIND(" ",SUBSTITUTE($F$2, CHAR(10), " "),calc!B697)</f>
        <v>#VALUE!</v>
      </c>
      <c r="D697" t="e">
        <f>MID($F$2,calc!B697,calc!C697-calc!B697)</f>
        <v>#VALUE!</v>
      </c>
    </row>
    <row r="698" spans="2:4" ht="16.5" customHeight="1">
      <c r="B698" s="2" t="e">
        <f t="shared" si="11"/>
        <v>#VALUE!</v>
      </c>
      <c r="C698" t="e">
        <f>FIND(" ",SUBSTITUTE($F$2, CHAR(10), " "),calc!B698)</f>
        <v>#VALUE!</v>
      </c>
      <c r="D698" t="e">
        <f>MID($F$2,calc!B698,calc!C698-calc!B698)</f>
        <v>#VALUE!</v>
      </c>
    </row>
    <row r="699" spans="2:4" ht="16.5" customHeight="1">
      <c r="B699" s="2" t="e">
        <f t="shared" si="11"/>
        <v>#VALUE!</v>
      </c>
      <c r="C699" t="e">
        <f>FIND(" ",SUBSTITUTE($F$2, CHAR(10), " "),calc!B699)</f>
        <v>#VALUE!</v>
      </c>
      <c r="D699" t="e">
        <f>MID($F$2,calc!B699,calc!C699-calc!B699)</f>
        <v>#VALUE!</v>
      </c>
    </row>
    <row r="700" spans="2:4" ht="16.5" customHeight="1">
      <c r="B700" s="2" t="e">
        <f t="shared" si="11"/>
        <v>#VALUE!</v>
      </c>
      <c r="C700" t="e">
        <f>FIND(" ",SUBSTITUTE($F$2, CHAR(10), " "),calc!B700)</f>
        <v>#VALUE!</v>
      </c>
      <c r="D700" t="e">
        <f>MID($F$2,calc!B700,calc!C700-calc!B700)</f>
        <v>#VALUE!</v>
      </c>
    </row>
    <row r="701" spans="2:4" ht="16.5" customHeight="1">
      <c r="B701" s="2" t="e">
        <f t="shared" si="11"/>
        <v>#VALUE!</v>
      </c>
      <c r="C701" t="e">
        <f>FIND(" ",SUBSTITUTE($F$2, CHAR(10), " "),calc!B701)</f>
        <v>#VALUE!</v>
      </c>
      <c r="D701" t="e">
        <f>MID($F$2,calc!B701,calc!C701-calc!B701)</f>
        <v>#VALUE!</v>
      </c>
    </row>
    <row r="702" spans="2:4" ht="16.5" customHeight="1">
      <c r="B702" s="2" t="e">
        <f t="shared" si="11"/>
        <v>#VALUE!</v>
      </c>
      <c r="C702" t="e">
        <f>FIND(" ",SUBSTITUTE($F$2, CHAR(10), " "),calc!B702)</f>
        <v>#VALUE!</v>
      </c>
      <c r="D702" t="e">
        <f>MID($F$2,calc!B702,calc!C702-calc!B702)</f>
        <v>#VALUE!</v>
      </c>
    </row>
    <row r="703" spans="2:4" ht="16.5" customHeight="1">
      <c r="B703" s="2" t="e">
        <f t="shared" si="11"/>
        <v>#VALUE!</v>
      </c>
      <c r="C703" t="e">
        <f>FIND(" ",SUBSTITUTE($F$2, CHAR(10), " "),calc!B703)</f>
        <v>#VALUE!</v>
      </c>
      <c r="D703" t="e">
        <f>MID($F$2,calc!B703,calc!C703-calc!B703)</f>
        <v>#VALUE!</v>
      </c>
    </row>
    <row r="704" spans="2:4" ht="16.5" customHeight="1">
      <c r="B704" s="2" t="e">
        <f t="shared" si="11"/>
        <v>#VALUE!</v>
      </c>
      <c r="C704" t="e">
        <f>FIND(" ",SUBSTITUTE($F$2, CHAR(10), " "),calc!B704)</f>
        <v>#VALUE!</v>
      </c>
      <c r="D704" t="e">
        <f>MID($F$2,calc!B704,calc!C704-calc!B704)</f>
        <v>#VALUE!</v>
      </c>
    </row>
    <row r="705" spans="2:4" ht="16.5" customHeight="1">
      <c r="B705" s="2" t="e">
        <f t="shared" si="11"/>
        <v>#VALUE!</v>
      </c>
      <c r="C705" t="e">
        <f>FIND(" ",SUBSTITUTE($F$2, CHAR(10), " "),calc!B705)</f>
        <v>#VALUE!</v>
      </c>
      <c r="D705" t="e">
        <f>MID($F$2,calc!B705,calc!C705-calc!B705)</f>
        <v>#VALUE!</v>
      </c>
    </row>
    <row r="706" spans="2:4" ht="16.5" customHeight="1">
      <c r="B706" s="2" t="e">
        <f t="shared" si="11"/>
        <v>#VALUE!</v>
      </c>
      <c r="C706" t="e">
        <f>FIND(" ",SUBSTITUTE($F$2, CHAR(10), " "),calc!B706)</f>
        <v>#VALUE!</v>
      </c>
      <c r="D706" t="e">
        <f>MID($F$2,calc!B706,calc!C706-calc!B706)</f>
        <v>#VALUE!</v>
      </c>
    </row>
    <row r="707" spans="2:4" ht="16.5" customHeight="1">
      <c r="B707" s="2" t="e">
        <f t="shared" ref="B707:B770" si="12">FIND("#", $F$2, B706 +1)</f>
        <v>#VALUE!</v>
      </c>
      <c r="C707" t="e">
        <f>FIND(" ",SUBSTITUTE($F$2, CHAR(10), " "),calc!B707)</f>
        <v>#VALUE!</v>
      </c>
      <c r="D707" t="e">
        <f>MID($F$2,calc!B707,calc!C707-calc!B707)</f>
        <v>#VALUE!</v>
      </c>
    </row>
    <row r="708" spans="2:4" ht="16.5" customHeight="1">
      <c r="B708" s="2" t="e">
        <f t="shared" si="12"/>
        <v>#VALUE!</v>
      </c>
      <c r="C708" t="e">
        <f>FIND(" ",SUBSTITUTE($F$2, CHAR(10), " "),calc!B708)</f>
        <v>#VALUE!</v>
      </c>
      <c r="D708" t="e">
        <f>MID($F$2,calc!B708,calc!C708-calc!B708)</f>
        <v>#VALUE!</v>
      </c>
    </row>
    <row r="709" spans="2:4" ht="16.5" customHeight="1">
      <c r="B709" s="2" t="e">
        <f t="shared" si="12"/>
        <v>#VALUE!</v>
      </c>
      <c r="C709" t="e">
        <f>FIND(" ",SUBSTITUTE($F$2, CHAR(10), " "),calc!B709)</f>
        <v>#VALUE!</v>
      </c>
      <c r="D709" t="e">
        <f>MID($F$2,calc!B709,calc!C709-calc!B709)</f>
        <v>#VALUE!</v>
      </c>
    </row>
    <row r="710" spans="2:4" ht="16.5" customHeight="1">
      <c r="B710" s="2" t="e">
        <f t="shared" si="12"/>
        <v>#VALUE!</v>
      </c>
      <c r="C710" t="e">
        <f>FIND(" ",SUBSTITUTE($F$2, CHAR(10), " "),calc!B710)</f>
        <v>#VALUE!</v>
      </c>
      <c r="D710" t="e">
        <f>MID($F$2,calc!B710,calc!C710-calc!B710)</f>
        <v>#VALUE!</v>
      </c>
    </row>
    <row r="711" spans="2:4" ht="16.5" customHeight="1">
      <c r="B711" s="2" t="e">
        <f t="shared" si="12"/>
        <v>#VALUE!</v>
      </c>
      <c r="C711" t="e">
        <f>FIND(" ",SUBSTITUTE($F$2, CHAR(10), " "),calc!B711)</f>
        <v>#VALUE!</v>
      </c>
      <c r="D711" t="e">
        <f>MID($F$2,calc!B711,calc!C711-calc!B711)</f>
        <v>#VALUE!</v>
      </c>
    </row>
    <row r="712" spans="2:4" ht="16.5" customHeight="1">
      <c r="B712" s="2" t="e">
        <f t="shared" si="12"/>
        <v>#VALUE!</v>
      </c>
      <c r="C712" t="e">
        <f>FIND(" ",SUBSTITUTE($F$2, CHAR(10), " "),calc!B712)</f>
        <v>#VALUE!</v>
      </c>
      <c r="D712" t="e">
        <f>MID($F$2,calc!B712,calc!C712-calc!B712)</f>
        <v>#VALUE!</v>
      </c>
    </row>
    <row r="713" spans="2:4" ht="16.5" customHeight="1">
      <c r="B713" s="2" t="e">
        <f t="shared" si="12"/>
        <v>#VALUE!</v>
      </c>
      <c r="C713" t="e">
        <f>FIND(" ",SUBSTITUTE($F$2, CHAR(10), " "),calc!B713)</f>
        <v>#VALUE!</v>
      </c>
      <c r="D713" t="e">
        <f>MID($F$2,calc!B713,calc!C713-calc!B713)</f>
        <v>#VALUE!</v>
      </c>
    </row>
    <row r="714" spans="2:4" ht="16.5" customHeight="1">
      <c r="B714" s="2" t="e">
        <f t="shared" si="12"/>
        <v>#VALUE!</v>
      </c>
      <c r="C714" t="e">
        <f>FIND(" ",SUBSTITUTE($F$2, CHAR(10), " "),calc!B714)</f>
        <v>#VALUE!</v>
      </c>
      <c r="D714" t="e">
        <f>MID($F$2,calc!B714,calc!C714-calc!B714)</f>
        <v>#VALUE!</v>
      </c>
    </row>
    <row r="715" spans="2:4" ht="16.5" customHeight="1">
      <c r="B715" s="2" t="e">
        <f t="shared" si="12"/>
        <v>#VALUE!</v>
      </c>
      <c r="C715" t="e">
        <f>FIND(" ",SUBSTITUTE($F$2, CHAR(10), " "),calc!B715)</f>
        <v>#VALUE!</v>
      </c>
      <c r="D715" t="e">
        <f>MID($F$2,calc!B715,calc!C715-calc!B715)</f>
        <v>#VALUE!</v>
      </c>
    </row>
    <row r="716" spans="2:4" ht="16.5" customHeight="1">
      <c r="B716" s="2" t="e">
        <f t="shared" si="12"/>
        <v>#VALUE!</v>
      </c>
      <c r="C716" t="e">
        <f>FIND(" ",SUBSTITUTE($F$2, CHAR(10), " "),calc!B716)</f>
        <v>#VALUE!</v>
      </c>
      <c r="D716" t="e">
        <f>MID($F$2,calc!B716,calc!C716-calc!B716)</f>
        <v>#VALUE!</v>
      </c>
    </row>
    <row r="717" spans="2:4" ht="16.5" customHeight="1">
      <c r="B717" s="2" t="e">
        <f t="shared" si="12"/>
        <v>#VALUE!</v>
      </c>
      <c r="C717" t="e">
        <f>FIND(" ",SUBSTITUTE($F$2, CHAR(10), " "),calc!B717)</f>
        <v>#VALUE!</v>
      </c>
      <c r="D717" t="e">
        <f>MID($F$2,calc!B717,calc!C717-calc!B717)</f>
        <v>#VALUE!</v>
      </c>
    </row>
    <row r="718" spans="2:4" ht="16.5" customHeight="1">
      <c r="B718" s="2" t="e">
        <f t="shared" si="12"/>
        <v>#VALUE!</v>
      </c>
      <c r="C718" t="e">
        <f>FIND(" ",SUBSTITUTE($F$2, CHAR(10), " "),calc!B718)</f>
        <v>#VALUE!</v>
      </c>
      <c r="D718" t="e">
        <f>MID($F$2,calc!B718,calc!C718-calc!B718)</f>
        <v>#VALUE!</v>
      </c>
    </row>
    <row r="719" spans="2:4" ht="16.5" customHeight="1">
      <c r="B719" s="2" t="e">
        <f t="shared" si="12"/>
        <v>#VALUE!</v>
      </c>
      <c r="C719" t="e">
        <f>FIND(" ",SUBSTITUTE($F$2, CHAR(10), " "),calc!B719)</f>
        <v>#VALUE!</v>
      </c>
      <c r="D719" t="e">
        <f>MID($F$2,calc!B719,calc!C719-calc!B719)</f>
        <v>#VALUE!</v>
      </c>
    </row>
    <row r="720" spans="2:4" ht="16.5" customHeight="1">
      <c r="B720" s="2" t="e">
        <f t="shared" si="12"/>
        <v>#VALUE!</v>
      </c>
      <c r="C720" t="e">
        <f>FIND(" ",SUBSTITUTE($F$2, CHAR(10), " "),calc!B720)</f>
        <v>#VALUE!</v>
      </c>
      <c r="D720" t="e">
        <f>MID($F$2,calc!B720,calc!C720-calc!B720)</f>
        <v>#VALUE!</v>
      </c>
    </row>
    <row r="721" spans="2:4" ht="16.5" customHeight="1">
      <c r="B721" s="2" t="e">
        <f t="shared" si="12"/>
        <v>#VALUE!</v>
      </c>
      <c r="C721" t="e">
        <f>FIND(" ",SUBSTITUTE($F$2, CHAR(10), " "),calc!B721)</f>
        <v>#VALUE!</v>
      </c>
      <c r="D721" t="e">
        <f>MID($F$2,calc!B721,calc!C721-calc!B721)</f>
        <v>#VALUE!</v>
      </c>
    </row>
    <row r="722" spans="2:4" ht="16.5" customHeight="1">
      <c r="B722" s="2" t="e">
        <f t="shared" si="12"/>
        <v>#VALUE!</v>
      </c>
      <c r="C722" t="e">
        <f>FIND(" ",SUBSTITUTE($F$2, CHAR(10), " "),calc!B722)</f>
        <v>#VALUE!</v>
      </c>
      <c r="D722" t="e">
        <f>MID($F$2,calc!B722,calc!C722-calc!B722)</f>
        <v>#VALUE!</v>
      </c>
    </row>
    <row r="723" spans="2:4" ht="16.5" customHeight="1">
      <c r="B723" s="2" t="e">
        <f t="shared" si="12"/>
        <v>#VALUE!</v>
      </c>
      <c r="C723" t="e">
        <f>FIND(" ",SUBSTITUTE($F$2, CHAR(10), " "),calc!B723)</f>
        <v>#VALUE!</v>
      </c>
      <c r="D723" t="e">
        <f>MID($F$2,calc!B723,calc!C723-calc!B723)</f>
        <v>#VALUE!</v>
      </c>
    </row>
    <row r="724" spans="2:4" ht="16.5" customHeight="1">
      <c r="B724" s="2" t="e">
        <f t="shared" si="12"/>
        <v>#VALUE!</v>
      </c>
      <c r="C724" t="e">
        <f>FIND(" ",SUBSTITUTE($F$2, CHAR(10), " "),calc!B724)</f>
        <v>#VALUE!</v>
      </c>
      <c r="D724" t="e">
        <f>MID($F$2,calc!B724,calc!C724-calc!B724)</f>
        <v>#VALUE!</v>
      </c>
    </row>
    <row r="725" spans="2:4" ht="16.5" customHeight="1">
      <c r="B725" s="2" t="e">
        <f t="shared" si="12"/>
        <v>#VALUE!</v>
      </c>
      <c r="C725" t="e">
        <f>FIND(" ",SUBSTITUTE($F$2, CHAR(10), " "),calc!B725)</f>
        <v>#VALUE!</v>
      </c>
      <c r="D725" t="e">
        <f>MID($F$2,calc!B725,calc!C725-calc!B725)</f>
        <v>#VALUE!</v>
      </c>
    </row>
    <row r="726" spans="2:4" ht="16.5" customHeight="1">
      <c r="B726" s="2" t="e">
        <f t="shared" si="12"/>
        <v>#VALUE!</v>
      </c>
      <c r="C726" t="e">
        <f>FIND(" ",SUBSTITUTE($F$2, CHAR(10), " "),calc!B726)</f>
        <v>#VALUE!</v>
      </c>
      <c r="D726" t="e">
        <f>MID($F$2,calc!B726,calc!C726-calc!B726)</f>
        <v>#VALUE!</v>
      </c>
    </row>
    <row r="727" spans="2:4" ht="16.5" customHeight="1">
      <c r="B727" s="2" t="e">
        <f t="shared" si="12"/>
        <v>#VALUE!</v>
      </c>
      <c r="C727" t="e">
        <f>FIND(" ",SUBSTITUTE($F$2, CHAR(10), " "),calc!B727)</f>
        <v>#VALUE!</v>
      </c>
      <c r="D727" t="e">
        <f>MID($F$2,calc!B727,calc!C727-calc!B727)</f>
        <v>#VALUE!</v>
      </c>
    </row>
    <row r="728" spans="2:4" ht="16.5" customHeight="1">
      <c r="B728" s="2" t="e">
        <f t="shared" si="12"/>
        <v>#VALUE!</v>
      </c>
      <c r="C728" t="e">
        <f>FIND(" ",SUBSTITUTE($F$2, CHAR(10), " "),calc!B728)</f>
        <v>#VALUE!</v>
      </c>
      <c r="D728" t="e">
        <f>MID($F$2,calc!B728,calc!C728-calc!B728)</f>
        <v>#VALUE!</v>
      </c>
    </row>
    <row r="729" spans="2:4" ht="16.5" customHeight="1">
      <c r="B729" s="2" t="e">
        <f t="shared" si="12"/>
        <v>#VALUE!</v>
      </c>
      <c r="C729" t="e">
        <f>FIND(" ",SUBSTITUTE($F$2, CHAR(10), " "),calc!B729)</f>
        <v>#VALUE!</v>
      </c>
      <c r="D729" t="e">
        <f>MID($F$2,calc!B729,calc!C729-calc!B729)</f>
        <v>#VALUE!</v>
      </c>
    </row>
    <row r="730" spans="2:4" ht="16.5" customHeight="1">
      <c r="B730" s="2" t="e">
        <f t="shared" si="12"/>
        <v>#VALUE!</v>
      </c>
      <c r="C730" t="e">
        <f>FIND(" ",SUBSTITUTE($F$2, CHAR(10), " "),calc!B730)</f>
        <v>#VALUE!</v>
      </c>
      <c r="D730" t="e">
        <f>MID($F$2,calc!B730,calc!C730-calc!B730)</f>
        <v>#VALUE!</v>
      </c>
    </row>
    <row r="731" spans="2:4" ht="16.5" customHeight="1">
      <c r="B731" s="2" t="e">
        <f t="shared" si="12"/>
        <v>#VALUE!</v>
      </c>
      <c r="C731" t="e">
        <f>FIND(" ",SUBSTITUTE($F$2, CHAR(10), " "),calc!B731)</f>
        <v>#VALUE!</v>
      </c>
      <c r="D731" t="e">
        <f>MID($F$2,calc!B731,calc!C731-calc!B731)</f>
        <v>#VALUE!</v>
      </c>
    </row>
    <row r="732" spans="2:4" ht="16.5" customHeight="1">
      <c r="B732" s="2" t="e">
        <f t="shared" si="12"/>
        <v>#VALUE!</v>
      </c>
      <c r="C732" t="e">
        <f>FIND(" ",SUBSTITUTE($F$2, CHAR(10), " "),calc!B732)</f>
        <v>#VALUE!</v>
      </c>
      <c r="D732" t="e">
        <f>MID($F$2,calc!B732,calc!C732-calc!B732)</f>
        <v>#VALUE!</v>
      </c>
    </row>
    <row r="733" spans="2:4" ht="16.5" customHeight="1">
      <c r="B733" s="2" t="e">
        <f t="shared" si="12"/>
        <v>#VALUE!</v>
      </c>
      <c r="C733" t="e">
        <f>FIND(" ",SUBSTITUTE($F$2, CHAR(10), " "),calc!B733)</f>
        <v>#VALUE!</v>
      </c>
      <c r="D733" t="e">
        <f>MID($F$2,calc!B733,calc!C733-calc!B733)</f>
        <v>#VALUE!</v>
      </c>
    </row>
    <row r="734" spans="2:4" ht="16.5" customHeight="1">
      <c r="B734" s="2" t="e">
        <f t="shared" si="12"/>
        <v>#VALUE!</v>
      </c>
      <c r="C734" t="e">
        <f>FIND(" ",SUBSTITUTE($F$2, CHAR(10), " "),calc!B734)</f>
        <v>#VALUE!</v>
      </c>
      <c r="D734" t="e">
        <f>MID($F$2,calc!B734,calc!C734-calc!B734)</f>
        <v>#VALUE!</v>
      </c>
    </row>
    <row r="735" spans="2:4" ht="16.5" customHeight="1">
      <c r="B735" s="2" t="e">
        <f t="shared" si="12"/>
        <v>#VALUE!</v>
      </c>
      <c r="C735" t="e">
        <f>FIND(" ",SUBSTITUTE($F$2, CHAR(10), " "),calc!B735)</f>
        <v>#VALUE!</v>
      </c>
      <c r="D735" t="e">
        <f>MID($F$2,calc!B735,calc!C735-calc!B735)</f>
        <v>#VALUE!</v>
      </c>
    </row>
    <row r="736" spans="2:4" ht="16.5" customHeight="1">
      <c r="B736" s="2" t="e">
        <f t="shared" si="12"/>
        <v>#VALUE!</v>
      </c>
      <c r="C736" t="e">
        <f>FIND(" ",SUBSTITUTE($F$2, CHAR(10), " "),calc!B736)</f>
        <v>#VALUE!</v>
      </c>
      <c r="D736" t="e">
        <f>MID($F$2,calc!B736,calc!C736-calc!B736)</f>
        <v>#VALUE!</v>
      </c>
    </row>
    <row r="737" spans="2:4" ht="16.5" customHeight="1">
      <c r="B737" s="2" t="e">
        <f t="shared" si="12"/>
        <v>#VALUE!</v>
      </c>
      <c r="C737" t="e">
        <f>FIND(" ",SUBSTITUTE($F$2, CHAR(10), " "),calc!B737)</f>
        <v>#VALUE!</v>
      </c>
      <c r="D737" t="e">
        <f>MID($F$2,calc!B737,calc!C737-calc!B737)</f>
        <v>#VALUE!</v>
      </c>
    </row>
    <row r="738" spans="2:4" ht="16.5" customHeight="1">
      <c r="B738" s="2" t="e">
        <f t="shared" si="12"/>
        <v>#VALUE!</v>
      </c>
      <c r="C738" t="e">
        <f>FIND(" ",SUBSTITUTE($F$2, CHAR(10), " "),calc!B738)</f>
        <v>#VALUE!</v>
      </c>
      <c r="D738" t="e">
        <f>MID($F$2,calc!B738,calc!C738-calc!B738)</f>
        <v>#VALUE!</v>
      </c>
    </row>
    <row r="739" spans="2:4" ht="16.5" customHeight="1">
      <c r="B739" s="2" t="e">
        <f t="shared" si="12"/>
        <v>#VALUE!</v>
      </c>
      <c r="C739" t="e">
        <f>FIND(" ",SUBSTITUTE($F$2, CHAR(10), " "),calc!B739)</f>
        <v>#VALUE!</v>
      </c>
      <c r="D739" t="e">
        <f>MID($F$2,calc!B739,calc!C739-calc!B739)</f>
        <v>#VALUE!</v>
      </c>
    </row>
    <row r="740" spans="2:4" ht="16.5" customHeight="1">
      <c r="B740" s="2" t="e">
        <f t="shared" si="12"/>
        <v>#VALUE!</v>
      </c>
      <c r="C740" t="e">
        <f>FIND(" ",SUBSTITUTE($F$2, CHAR(10), " "),calc!B740)</f>
        <v>#VALUE!</v>
      </c>
      <c r="D740" t="e">
        <f>MID($F$2,calc!B740,calc!C740-calc!B740)</f>
        <v>#VALUE!</v>
      </c>
    </row>
    <row r="741" spans="2:4" ht="16.5" customHeight="1">
      <c r="B741" s="2" t="e">
        <f t="shared" si="12"/>
        <v>#VALUE!</v>
      </c>
      <c r="C741" t="e">
        <f>FIND(" ",SUBSTITUTE($F$2, CHAR(10), " "),calc!B741)</f>
        <v>#VALUE!</v>
      </c>
      <c r="D741" t="e">
        <f>MID($F$2,calc!B741,calc!C741-calc!B741)</f>
        <v>#VALUE!</v>
      </c>
    </row>
    <row r="742" spans="2:4" ht="16.5" customHeight="1">
      <c r="B742" s="2" t="e">
        <f t="shared" si="12"/>
        <v>#VALUE!</v>
      </c>
      <c r="C742" t="e">
        <f>FIND(" ",SUBSTITUTE($F$2, CHAR(10), " "),calc!B742)</f>
        <v>#VALUE!</v>
      </c>
      <c r="D742" t="e">
        <f>MID($F$2,calc!B742,calc!C742-calc!B742)</f>
        <v>#VALUE!</v>
      </c>
    </row>
    <row r="743" spans="2:4" ht="16.5" customHeight="1">
      <c r="B743" s="2" t="e">
        <f t="shared" si="12"/>
        <v>#VALUE!</v>
      </c>
      <c r="C743" t="e">
        <f>FIND(" ",SUBSTITUTE($F$2, CHAR(10), " "),calc!B743)</f>
        <v>#VALUE!</v>
      </c>
      <c r="D743" t="e">
        <f>MID($F$2,calc!B743,calc!C743-calc!B743)</f>
        <v>#VALUE!</v>
      </c>
    </row>
    <row r="744" spans="2:4" ht="16.5" customHeight="1">
      <c r="B744" s="2" t="e">
        <f t="shared" si="12"/>
        <v>#VALUE!</v>
      </c>
      <c r="C744" t="e">
        <f>FIND(" ",SUBSTITUTE($F$2, CHAR(10), " "),calc!B744)</f>
        <v>#VALUE!</v>
      </c>
      <c r="D744" t="e">
        <f>MID($F$2,calc!B744,calc!C744-calc!B744)</f>
        <v>#VALUE!</v>
      </c>
    </row>
    <row r="745" spans="2:4" ht="16.5" customHeight="1">
      <c r="B745" s="2" t="e">
        <f t="shared" si="12"/>
        <v>#VALUE!</v>
      </c>
      <c r="C745" t="e">
        <f>FIND(" ",SUBSTITUTE($F$2, CHAR(10), " "),calc!B745)</f>
        <v>#VALUE!</v>
      </c>
      <c r="D745" t="e">
        <f>MID($F$2,calc!B745,calc!C745-calc!B745)</f>
        <v>#VALUE!</v>
      </c>
    </row>
    <row r="746" spans="2:4" ht="16.5" customHeight="1">
      <c r="B746" s="2" t="e">
        <f t="shared" si="12"/>
        <v>#VALUE!</v>
      </c>
      <c r="C746" t="e">
        <f>FIND(" ",SUBSTITUTE($F$2, CHAR(10), " "),calc!B746)</f>
        <v>#VALUE!</v>
      </c>
      <c r="D746" t="e">
        <f>MID($F$2,calc!B746,calc!C746-calc!B746)</f>
        <v>#VALUE!</v>
      </c>
    </row>
    <row r="747" spans="2:4" ht="16.5" customHeight="1">
      <c r="B747" s="2" t="e">
        <f t="shared" si="12"/>
        <v>#VALUE!</v>
      </c>
      <c r="C747" t="e">
        <f>FIND(" ",SUBSTITUTE($F$2, CHAR(10), " "),calc!B747)</f>
        <v>#VALUE!</v>
      </c>
      <c r="D747" t="e">
        <f>MID($F$2,calc!B747,calc!C747-calc!B747)</f>
        <v>#VALUE!</v>
      </c>
    </row>
    <row r="748" spans="2:4" ht="16.5" customHeight="1">
      <c r="B748" s="2" t="e">
        <f t="shared" si="12"/>
        <v>#VALUE!</v>
      </c>
      <c r="C748" t="e">
        <f>FIND(" ",SUBSTITUTE($F$2, CHAR(10), " "),calc!B748)</f>
        <v>#VALUE!</v>
      </c>
      <c r="D748" t="e">
        <f>MID($F$2,calc!B748,calc!C748-calc!B748)</f>
        <v>#VALUE!</v>
      </c>
    </row>
    <row r="749" spans="2:4" ht="16.5" customHeight="1">
      <c r="B749" s="2" t="e">
        <f t="shared" si="12"/>
        <v>#VALUE!</v>
      </c>
      <c r="C749" t="e">
        <f>FIND(" ",SUBSTITUTE($F$2, CHAR(10), " "),calc!B749)</f>
        <v>#VALUE!</v>
      </c>
      <c r="D749" t="e">
        <f>MID($F$2,calc!B749,calc!C749-calc!B749)</f>
        <v>#VALUE!</v>
      </c>
    </row>
    <row r="750" spans="2:4" ht="16.5" customHeight="1">
      <c r="B750" s="2" t="e">
        <f t="shared" si="12"/>
        <v>#VALUE!</v>
      </c>
      <c r="C750" t="e">
        <f>FIND(" ",SUBSTITUTE($F$2, CHAR(10), " "),calc!B750)</f>
        <v>#VALUE!</v>
      </c>
      <c r="D750" t="e">
        <f>MID($F$2,calc!B750,calc!C750-calc!B750)</f>
        <v>#VALUE!</v>
      </c>
    </row>
    <row r="751" spans="2:4" ht="16.5" customHeight="1">
      <c r="B751" s="2" t="e">
        <f t="shared" si="12"/>
        <v>#VALUE!</v>
      </c>
      <c r="C751" t="e">
        <f>FIND(" ",SUBSTITUTE($F$2, CHAR(10), " "),calc!B751)</f>
        <v>#VALUE!</v>
      </c>
      <c r="D751" t="e">
        <f>MID($F$2,calc!B751,calc!C751-calc!B751)</f>
        <v>#VALUE!</v>
      </c>
    </row>
    <row r="752" spans="2:4" ht="16.5" customHeight="1">
      <c r="B752" s="2" t="e">
        <f t="shared" si="12"/>
        <v>#VALUE!</v>
      </c>
      <c r="C752" t="e">
        <f>FIND(" ",SUBSTITUTE($F$2, CHAR(10), " "),calc!B752)</f>
        <v>#VALUE!</v>
      </c>
      <c r="D752" t="e">
        <f>MID($F$2,calc!B752,calc!C752-calc!B752)</f>
        <v>#VALUE!</v>
      </c>
    </row>
    <row r="753" spans="2:4" ht="16.5" customHeight="1">
      <c r="B753" s="2" t="e">
        <f t="shared" si="12"/>
        <v>#VALUE!</v>
      </c>
      <c r="C753" t="e">
        <f>FIND(" ",SUBSTITUTE($F$2, CHAR(10), " "),calc!B753)</f>
        <v>#VALUE!</v>
      </c>
      <c r="D753" t="e">
        <f>MID($F$2,calc!B753,calc!C753-calc!B753)</f>
        <v>#VALUE!</v>
      </c>
    </row>
    <row r="754" spans="2:4" ht="16.5" customHeight="1">
      <c r="B754" s="2" t="e">
        <f t="shared" si="12"/>
        <v>#VALUE!</v>
      </c>
      <c r="C754" t="e">
        <f>FIND(" ",SUBSTITUTE($F$2, CHAR(10), " "),calc!B754)</f>
        <v>#VALUE!</v>
      </c>
      <c r="D754" t="e">
        <f>MID($F$2,calc!B754,calc!C754-calc!B754)</f>
        <v>#VALUE!</v>
      </c>
    </row>
    <row r="755" spans="2:4" ht="16.5" customHeight="1">
      <c r="B755" s="2" t="e">
        <f t="shared" si="12"/>
        <v>#VALUE!</v>
      </c>
      <c r="C755" t="e">
        <f>FIND(" ",SUBSTITUTE($F$2, CHAR(10), " "),calc!B755)</f>
        <v>#VALUE!</v>
      </c>
      <c r="D755" t="e">
        <f>MID($F$2,calc!B755,calc!C755-calc!B755)</f>
        <v>#VALUE!</v>
      </c>
    </row>
    <row r="756" spans="2:4" ht="16.5" customHeight="1">
      <c r="B756" s="2" t="e">
        <f t="shared" si="12"/>
        <v>#VALUE!</v>
      </c>
      <c r="C756" t="e">
        <f>FIND(" ",SUBSTITUTE($F$2, CHAR(10), " "),calc!B756)</f>
        <v>#VALUE!</v>
      </c>
      <c r="D756" t="e">
        <f>MID($F$2,calc!B756,calc!C756-calc!B756)</f>
        <v>#VALUE!</v>
      </c>
    </row>
    <row r="757" spans="2:4" ht="16.5" customHeight="1">
      <c r="B757" s="2" t="e">
        <f t="shared" si="12"/>
        <v>#VALUE!</v>
      </c>
      <c r="C757" t="e">
        <f>FIND(" ",SUBSTITUTE($F$2, CHAR(10), " "),calc!B757)</f>
        <v>#VALUE!</v>
      </c>
      <c r="D757" t="e">
        <f>MID($F$2,calc!B757,calc!C757-calc!B757)</f>
        <v>#VALUE!</v>
      </c>
    </row>
    <row r="758" spans="2:4" ht="16.5" customHeight="1">
      <c r="B758" s="2" t="e">
        <f t="shared" si="12"/>
        <v>#VALUE!</v>
      </c>
      <c r="C758" t="e">
        <f>FIND(" ",SUBSTITUTE($F$2, CHAR(10), " "),calc!B758)</f>
        <v>#VALUE!</v>
      </c>
      <c r="D758" t="e">
        <f>MID($F$2,calc!B758,calc!C758-calc!B758)</f>
        <v>#VALUE!</v>
      </c>
    </row>
    <row r="759" spans="2:4" ht="16.5" customHeight="1">
      <c r="B759" s="2" t="e">
        <f t="shared" si="12"/>
        <v>#VALUE!</v>
      </c>
      <c r="C759" t="e">
        <f>FIND(" ",SUBSTITUTE($F$2, CHAR(10), " "),calc!B759)</f>
        <v>#VALUE!</v>
      </c>
      <c r="D759" t="e">
        <f>MID($F$2,calc!B759,calc!C759-calc!B759)</f>
        <v>#VALUE!</v>
      </c>
    </row>
    <row r="760" spans="2:4" ht="16.5" customHeight="1">
      <c r="B760" s="2" t="e">
        <f t="shared" si="12"/>
        <v>#VALUE!</v>
      </c>
      <c r="C760" t="e">
        <f>FIND(" ",SUBSTITUTE($F$2, CHAR(10), " "),calc!B760)</f>
        <v>#VALUE!</v>
      </c>
      <c r="D760" t="e">
        <f>MID($F$2,calc!B760,calc!C760-calc!B760)</f>
        <v>#VALUE!</v>
      </c>
    </row>
    <row r="761" spans="2:4" ht="16.5" customHeight="1">
      <c r="B761" s="2" t="e">
        <f t="shared" si="12"/>
        <v>#VALUE!</v>
      </c>
      <c r="C761" t="e">
        <f>FIND(" ",SUBSTITUTE($F$2, CHAR(10), " "),calc!B761)</f>
        <v>#VALUE!</v>
      </c>
      <c r="D761" t="e">
        <f>MID($F$2,calc!B761,calc!C761-calc!B761)</f>
        <v>#VALUE!</v>
      </c>
    </row>
    <row r="762" spans="2:4" ht="16.5" customHeight="1">
      <c r="B762" s="2" t="e">
        <f t="shared" si="12"/>
        <v>#VALUE!</v>
      </c>
      <c r="C762" t="e">
        <f>FIND(" ",SUBSTITUTE($F$2, CHAR(10), " "),calc!B762)</f>
        <v>#VALUE!</v>
      </c>
      <c r="D762" t="e">
        <f>MID($F$2,calc!B762,calc!C762-calc!B762)</f>
        <v>#VALUE!</v>
      </c>
    </row>
    <row r="763" spans="2:4" ht="16.5" customHeight="1">
      <c r="B763" s="2" t="e">
        <f t="shared" si="12"/>
        <v>#VALUE!</v>
      </c>
      <c r="C763" t="e">
        <f>FIND(" ",SUBSTITUTE($F$2, CHAR(10), " "),calc!B763)</f>
        <v>#VALUE!</v>
      </c>
      <c r="D763" t="e">
        <f>MID($F$2,calc!B763,calc!C763-calc!B763)</f>
        <v>#VALUE!</v>
      </c>
    </row>
    <row r="764" spans="2:4" ht="16.5" customHeight="1">
      <c r="B764" s="2" t="e">
        <f t="shared" si="12"/>
        <v>#VALUE!</v>
      </c>
      <c r="C764" t="e">
        <f>FIND(" ",SUBSTITUTE($F$2, CHAR(10), " "),calc!B764)</f>
        <v>#VALUE!</v>
      </c>
      <c r="D764" t="e">
        <f>MID($F$2,calc!B764,calc!C764-calc!B764)</f>
        <v>#VALUE!</v>
      </c>
    </row>
    <row r="765" spans="2:4" ht="16.5" customHeight="1">
      <c r="B765" s="2" t="e">
        <f t="shared" si="12"/>
        <v>#VALUE!</v>
      </c>
      <c r="C765" t="e">
        <f>FIND(" ",SUBSTITUTE($F$2, CHAR(10), " "),calc!B765)</f>
        <v>#VALUE!</v>
      </c>
      <c r="D765" t="e">
        <f>MID($F$2,calc!B765,calc!C765-calc!B765)</f>
        <v>#VALUE!</v>
      </c>
    </row>
    <row r="766" spans="2:4" ht="16.5" customHeight="1">
      <c r="B766" s="2" t="e">
        <f t="shared" si="12"/>
        <v>#VALUE!</v>
      </c>
      <c r="C766" t="e">
        <f>FIND(" ",SUBSTITUTE($F$2, CHAR(10), " "),calc!B766)</f>
        <v>#VALUE!</v>
      </c>
      <c r="D766" t="e">
        <f>MID($F$2,calc!B766,calc!C766-calc!B766)</f>
        <v>#VALUE!</v>
      </c>
    </row>
    <row r="767" spans="2:4" ht="16.5" customHeight="1">
      <c r="B767" s="2" t="e">
        <f t="shared" si="12"/>
        <v>#VALUE!</v>
      </c>
      <c r="C767" t="e">
        <f>FIND(" ",SUBSTITUTE($F$2, CHAR(10), " "),calc!B767)</f>
        <v>#VALUE!</v>
      </c>
      <c r="D767" t="e">
        <f>MID($F$2,calc!B767,calc!C767-calc!B767)</f>
        <v>#VALUE!</v>
      </c>
    </row>
    <row r="768" spans="2:4" ht="16.5" customHeight="1">
      <c r="B768" s="2" t="e">
        <f t="shared" si="12"/>
        <v>#VALUE!</v>
      </c>
      <c r="C768" t="e">
        <f>FIND(" ",SUBSTITUTE($F$2, CHAR(10), " "),calc!B768)</f>
        <v>#VALUE!</v>
      </c>
      <c r="D768" t="e">
        <f>MID($F$2,calc!B768,calc!C768-calc!B768)</f>
        <v>#VALUE!</v>
      </c>
    </row>
    <row r="769" spans="2:4" ht="16.5" customHeight="1">
      <c r="B769" s="2" t="e">
        <f t="shared" si="12"/>
        <v>#VALUE!</v>
      </c>
      <c r="C769" t="e">
        <f>FIND(" ",SUBSTITUTE($F$2, CHAR(10), " "),calc!B769)</f>
        <v>#VALUE!</v>
      </c>
      <c r="D769" t="e">
        <f>MID($F$2,calc!B769,calc!C769-calc!B769)</f>
        <v>#VALUE!</v>
      </c>
    </row>
    <row r="770" spans="2:4" ht="16.5" customHeight="1">
      <c r="B770" s="2" t="e">
        <f t="shared" si="12"/>
        <v>#VALUE!</v>
      </c>
      <c r="C770" t="e">
        <f>FIND(" ",SUBSTITUTE($F$2, CHAR(10), " "),calc!B770)</f>
        <v>#VALUE!</v>
      </c>
      <c r="D770" t="e">
        <f>MID($F$2,calc!B770,calc!C770-calc!B770)</f>
        <v>#VALUE!</v>
      </c>
    </row>
    <row r="771" spans="2:4" ht="16.5" customHeight="1">
      <c r="B771" s="2" t="e">
        <f t="shared" ref="B771:B834" si="13">FIND("#", $F$2, B770 +1)</f>
        <v>#VALUE!</v>
      </c>
      <c r="C771" t="e">
        <f>FIND(" ",SUBSTITUTE($F$2, CHAR(10), " "),calc!B771)</f>
        <v>#VALUE!</v>
      </c>
      <c r="D771" t="e">
        <f>MID($F$2,calc!B771,calc!C771-calc!B771)</f>
        <v>#VALUE!</v>
      </c>
    </row>
    <row r="772" spans="2:4" ht="16.5" customHeight="1">
      <c r="B772" s="2" t="e">
        <f t="shared" si="13"/>
        <v>#VALUE!</v>
      </c>
      <c r="C772" t="e">
        <f>FIND(" ",SUBSTITUTE($F$2, CHAR(10), " "),calc!B772)</f>
        <v>#VALUE!</v>
      </c>
      <c r="D772" t="e">
        <f>MID($F$2,calc!B772,calc!C772-calc!B772)</f>
        <v>#VALUE!</v>
      </c>
    </row>
    <row r="773" spans="2:4" ht="16.5" customHeight="1">
      <c r="B773" s="2" t="e">
        <f t="shared" si="13"/>
        <v>#VALUE!</v>
      </c>
      <c r="C773" t="e">
        <f>FIND(" ",SUBSTITUTE($F$2, CHAR(10), " "),calc!B773)</f>
        <v>#VALUE!</v>
      </c>
      <c r="D773" t="e">
        <f>MID($F$2,calc!B773,calc!C773-calc!B773)</f>
        <v>#VALUE!</v>
      </c>
    </row>
    <row r="774" spans="2:4" ht="16.5" customHeight="1">
      <c r="B774" s="2" t="e">
        <f t="shared" si="13"/>
        <v>#VALUE!</v>
      </c>
      <c r="C774" t="e">
        <f>FIND(" ",SUBSTITUTE($F$2, CHAR(10), " "),calc!B774)</f>
        <v>#VALUE!</v>
      </c>
      <c r="D774" t="e">
        <f>MID($F$2,calc!B774,calc!C774-calc!B774)</f>
        <v>#VALUE!</v>
      </c>
    </row>
    <row r="775" spans="2:4" ht="16.5" customHeight="1">
      <c r="B775" s="2" t="e">
        <f t="shared" si="13"/>
        <v>#VALUE!</v>
      </c>
      <c r="C775" t="e">
        <f>FIND(" ",SUBSTITUTE($F$2, CHAR(10), " "),calc!B775)</f>
        <v>#VALUE!</v>
      </c>
      <c r="D775" t="e">
        <f>MID($F$2,calc!B775,calc!C775-calc!B775)</f>
        <v>#VALUE!</v>
      </c>
    </row>
    <row r="776" spans="2:4" ht="16.5" customHeight="1">
      <c r="B776" s="2" t="e">
        <f t="shared" si="13"/>
        <v>#VALUE!</v>
      </c>
      <c r="C776" t="e">
        <f>FIND(" ",SUBSTITUTE($F$2, CHAR(10), " "),calc!B776)</f>
        <v>#VALUE!</v>
      </c>
      <c r="D776" t="e">
        <f>MID($F$2,calc!B776,calc!C776-calc!B776)</f>
        <v>#VALUE!</v>
      </c>
    </row>
    <row r="777" spans="2:4" ht="16.5" customHeight="1">
      <c r="B777" s="2" t="e">
        <f t="shared" si="13"/>
        <v>#VALUE!</v>
      </c>
      <c r="C777" t="e">
        <f>FIND(" ",SUBSTITUTE($F$2, CHAR(10), " "),calc!B777)</f>
        <v>#VALUE!</v>
      </c>
      <c r="D777" t="e">
        <f>MID($F$2,calc!B777,calc!C777-calc!B777)</f>
        <v>#VALUE!</v>
      </c>
    </row>
    <row r="778" spans="2:4" ht="16.5" customHeight="1">
      <c r="B778" s="2" t="e">
        <f t="shared" si="13"/>
        <v>#VALUE!</v>
      </c>
      <c r="C778" t="e">
        <f>FIND(" ",SUBSTITUTE($F$2, CHAR(10), " "),calc!B778)</f>
        <v>#VALUE!</v>
      </c>
      <c r="D778" t="e">
        <f>MID($F$2,calc!B778,calc!C778-calc!B778)</f>
        <v>#VALUE!</v>
      </c>
    </row>
    <row r="779" spans="2:4" ht="16.5" customHeight="1">
      <c r="B779" s="2" t="e">
        <f t="shared" si="13"/>
        <v>#VALUE!</v>
      </c>
      <c r="C779" t="e">
        <f>FIND(" ",SUBSTITUTE($F$2, CHAR(10), " "),calc!B779)</f>
        <v>#VALUE!</v>
      </c>
      <c r="D779" t="e">
        <f>MID($F$2,calc!B779,calc!C779-calc!B779)</f>
        <v>#VALUE!</v>
      </c>
    </row>
    <row r="780" spans="2:4" ht="16.5" customHeight="1">
      <c r="B780" s="2" t="e">
        <f t="shared" si="13"/>
        <v>#VALUE!</v>
      </c>
      <c r="C780" t="e">
        <f>FIND(" ",SUBSTITUTE($F$2, CHAR(10), " "),calc!B780)</f>
        <v>#VALUE!</v>
      </c>
      <c r="D780" t="e">
        <f>MID($F$2,calc!B780,calc!C780-calc!B780)</f>
        <v>#VALUE!</v>
      </c>
    </row>
    <row r="781" spans="2:4" ht="16.5" customHeight="1">
      <c r="B781" s="2" t="e">
        <f t="shared" si="13"/>
        <v>#VALUE!</v>
      </c>
      <c r="C781" t="e">
        <f>FIND(" ",SUBSTITUTE($F$2, CHAR(10), " "),calc!B781)</f>
        <v>#VALUE!</v>
      </c>
      <c r="D781" t="e">
        <f>MID($F$2,calc!B781,calc!C781-calc!B781)</f>
        <v>#VALUE!</v>
      </c>
    </row>
    <row r="782" spans="2:4" ht="16.5" customHeight="1">
      <c r="B782" s="2" t="e">
        <f t="shared" si="13"/>
        <v>#VALUE!</v>
      </c>
      <c r="C782" t="e">
        <f>FIND(" ",SUBSTITUTE($F$2, CHAR(10), " "),calc!B782)</f>
        <v>#VALUE!</v>
      </c>
      <c r="D782" t="e">
        <f>MID($F$2,calc!B782,calc!C782-calc!B782)</f>
        <v>#VALUE!</v>
      </c>
    </row>
    <row r="783" spans="2:4" ht="16.5" customHeight="1">
      <c r="B783" s="2" t="e">
        <f t="shared" si="13"/>
        <v>#VALUE!</v>
      </c>
      <c r="C783" t="e">
        <f>FIND(" ",SUBSTITUTE($F$2, CHAR(10), " "),calc!B783)</f>
        <v>#VALUE!</v>
      </c>
      <c r="D783" t="e">
        <f>MID($F$2,calc!B783,calc!C783-calc!B783)</f>
        <v>#VALUE!</v>
      </c>
    </row>
    <row r="784" spans="2:4" ht="16.5" customHeight="1">
      <c r="B784" s="2" t="e">
        <f t="shared" si="13"/>
        <v>#VALUE!</v>
      </c>
      <c r="C784" t="e">
        <f>FIND(" ",SUBSTITUTE($F$2, CHAR(10), " "),calc!B784)</f>
        <v>#VALUE!</v>
      </c>
      <c r="D784" t="e">
        <f>MID($F$2,calc!B784,calc!C784-calc!B784)</f>
        <v>#VALUE!</v>
      </c>
    </row>
    <row r="785" spans="2:4" ht="16.5" customHeight="1">
      <c r="B785" s="2" t="e">
        <f t="shared" si="13"/>
        <v>#VALUE!</v>
      </c>
      <c r="C785" t="e">
        <f>FIND(" ",SUBSTITUTE($F$2, CHAR(10), " "),calc!B785)</f>
        <v>#VALUE!</v>
      </c>
      <c r="D785" t="e">
        <f>MID($F$2,calc!B785,calc!C785-calc!B785)</f>
        <v>#VALUE!</v>
      </c>
    </row>
    <row r="786" spans="2:4" ht="16.5" customHeight="1">
      <c r="B786" s="2" t="e">
        <f t="shared" si="13"/>
        <v>#VALUE!</v>
      </c>
      <c r="C786" t="e">
        <f>FIND(" ",SUBSTITUTE($F$2, CHAR(10), " "),calc!B786)</f>
        <v>#VALUE!</v>
      </c>
      <c r="D786" t="e">
        <f>MID($F$2,calc!B786,calc!C786-calc!B786)</f>
        <v>#VALUE!</v>
      </c>
    </row>
    <row r="787" spans="2:4" ht="16.5" customHeight="1">
      <c r="B787" s="2" t="e">
        <f t="shared" si="13"/>
        <v>#VALUE!</v>
      </c>
      <c r="C787" t="e">
        <f>FIND(" ",SUBSTITUTE($F$2, CHAR(10), " "),calc!B787)</f>
        <v>#VALUE!</v>
      </c>
      <c r="D787" t="e">
        <f>MID($F$2,calc!B787,calc!C787-calc!B787)</f>
        <v>#VALUE!</v>
      </c>
    </row>
    <row r="788" spans="2:4" ht="16.5" customHeight="1">
      <c r="B788" s="2" t="e">
        <f t="shared" si="13"/>
        <v>#VALUE!</v>
      </c>
      <c r="C788" t="e">
        <f>FIND(" ",SUBSTITUTE($F$2, CHAR(10), " "),calc!B788)</f>
        <v>#VALUE!</v>
      </c>
      <c r="D788" t="e">
        <f>MID($F$2,calc!B788,calc!C788-calc!B788)</f>
        <v>#VALUE!</v>
      </c>
    </row>
    <row r="789" spans="2:4" ht="16.5" customHeight="1">
      <c r="B789" s="2" t="e">
        <f t="shared" si="13"/>
        <v>#VALUE!</v>
      </c>
      <c r="C789" t="e">
        <f>FIND(" ",SUBSTITUTE($F$2, CHAR(10), " "),calc!B789)</f>
        <v>#VALUE!</v>
      </c>
      <c r="D789" t="e">
        <f>MID($F$2,calc!B789,calc!C789-calc!B789)</f>
        <v>#VALUE!</v>
      </c>
    </row>
    <row r="790" spans="2:4" ht="16.5" customHeight="1">
      <c r="B790" s="2" t="e">
        <f t="shared" si="13"/>
        <v>#VALUE!</v>
      </c>
      <c r="C790" t="e">
        <f>FIND(" ",SUBSTITUTE($F$2, CHAR(10), " "),calc!B790)</f>
        <v>#VALUE!</v>
      </c>
      <c r="D790" t="e">
        <f>MID($F$2,calc!B790,calc!C790-calc!B790)</f>
        <v>#VALUE!</v>
      </c>
    </row>
    <row r="791" spans="2:4" ht="16.5" customHeight="1">
      <c r="B791" s="2" t="e">
        <f t="shared" si="13"/>
        <v>#VALUE!</v>
      </c>
      <c r="C791" t="e">
        <f>FIND(" ",SUBSTITUTE($F$2, CHAR(10), " "),calc!B791)</f>
        <v>#VALUE!</v>
      </c>
      <c r="D791" t="e">
        <f>MID($F$2,calc!B791,calc!C791-calc!B791)</f>
        <v>#VALUE!</v>
      </c>
    </row>
    <row r="792" spans="2:4" ht="16.5" customHeight="1">
      <c r="B792" s="2" t="e">
        <f t="shared" si="13"/>
        <v>#VALUE!</v>
      </c>
      <c r="C792" t="e">
        <f>FIND(" ",SUBSTITUTE($F$2, CHAR(10), " "),calc!B792)</f>
        <v>#VALUE!</v>
      </c>
      <c r="D792" t="e">
        <f>MID($F$2,calc!B792,calc!C792-calc!B792)</f>
        <v>#VALUE!</v>
      </c>
    </row>
    <row r="793" spans="2:4" ht="16.5" customHeight="1">
      <c r="B793" s="2" t="e">
        <f t="shared" si="13"/>
        <v>#VALUE!</v>
      </c>
      <c r="C793" t="e">
        <f>FIND(" ",SUBSTITUTE($F$2, CHAR(10), " "),calc!B793)</f>
        <v>#VALUE!</v>
      </c>
      <c r="D793" t="e">
        <f>MID($F$2,calc!B793,calc!C793-calc!B793)</f>
        <v>#VALUE!</v>
      </c>
    </row>
    <row r="794" spans="2:4" ht="16.5" customHeight="1">
      <c r="B794" s="2" t="e">
        <f t="shared" si="13"/>
        <v>#VALUE!</v>
      </c>
      <c r="C794" t="e">
        <f>FIND(" ",SUBSTITUTE($F$2, CHAR(10), " "),calc!B794)</f>
        <v>#VALUE!</v>
      </c>
      <c r="D794" t="e">
        <f>MID($F$2,calc!B794,calc!C794-calc!B794)</f>
        <v>#VALUE!</v>
      </c>
    </row>
    <row r="795" spans="2:4" ht="16.5" customHeight="1">
      <c r="B795" s="2" t="e">
        <f t="shared" si="13"/>
        <v>#VALUE!</v>
      </c>
      <c r="C795" t="e">
        <f>FIND(" ",SUBSTITUTE($F$2, CHAR(10), " "),calc!B795)</f>
        <v>#VALUE!</v>
      </c>
      <c r="D795" t="e">
        <f>MID($F$2,calc!B795,calc!C795-calc!B795)</f>
        <v>#VALUE!</v>
      </c>
    </row>
    <row r="796" spans="2:4" ht="16.5" customHeight="1">
      <c r="B796" s="2" t="e">
        <f t="shared" si="13"/>
        <v>#VALUE!</v>
      </c>
      <c r="C796" t="e">
        <f>FIND(" ",SUBSTITUTE($F$2, CHAR(10), " "),calc!B796)</f>
        <v>#VALUE!</v>
      </c>
      <c r="D796" t="e">
        <f>MID($F$2,calc!B796,calc!C796-calc!B796)</f>
        <v>#VALUE!</v>
      </c>
    </row>
    <row r="797" spans="2:4" ht="16.5" customHeight="1">
      <c r="B797" s="2" t="e">
        <f t="shared" si="13"/>
        <v>#VALUE!</v>
      </c>
      <c r="C797" t="e">
        <f>FIND(" ",SUBSTITUTE($F$2, CHAR(10), " "),calc!B797)</f>
        <v>#VALUE!</v>
      </c>
      <c r="D797" t="e">
        <f>MID($F$2,calc!B797,calc!C797-calc!B797)</f>
        <v>#VALUE!</v>
      </c>
    </row>
    <row r="798" spans="2:4" ht="16.5" customHeight="1">
      <c r="B798" s="2" t="e">
        <f t="shared" si="13"/>
        <v>#VALUE!</v>
      </c>
      <c r="C798" t="e">
        <f>FIND(" ",SUBSTITUTE($F$2, CHAR(10), " "),calc!B798)</f>
        <v>#VALUE!</v>
      </c>
      <c r="D798" t="e">
        <f>MID($F$2,calc!B798,calc!C798-calc!B798)</f>
        <v>#VALUE!</v>
      </c>
    </row>
    <row r="799" spans="2:4" ht="16.5" customHeight="1">
      <c r="B799" s="2" t="e">
        <f t="shared" si="13"/>
        <v>#VALUE!</v>
      </c>
      <c r="C799" t="e">
        <f>FIND(" ",SUBSTITUTE($F$2, CHAR(10), " "),calc!B799)</f>
        <v>#VALUE!</v>
      </c>
      <c r="D799" t="e">
        <f>MID($F$2,calc!B799,calc!C799-calc!B799)</f>
        <v>#VALUE!</v>
      </c>
    </row>
    <row r="800" spans="2:4" ht="16.5" customHeight="1">
      <c r="B800" s="2" t="e">
        <f t="shared" si="13"/>
        <v>#VALUE!</v>
      </c>
      <c r="C800" t="e">
        <f>FIND(" ",SUBSTITUTE($F$2, CHAR(10), " "),calc!B800)</f>
        <v>#VALUE!</v>
      </c>
      <c r="D800" t="e">
        <f>MID($F$2,calc!B800,calc!C800-calc!B800)</f>
        <v>#VALUE!</v>
      </c>
    </row>
    <row r="801" spans="2:4" ht="16.5" customHeight="1">
      <c r="B801" s="2" t="e">
        <f t="shared" si="13"/>
        <v>#VALUE!</v>
      </c>
      <c r="C801" t="e">
        <f>FIND(" ",SUBSTITUTE($F$2, CHAR(10), " "),calc!B801)</f>
        <v>#VALUE!</v>
      </c>
      <c r="D801" t="e">
        <f>MID($F$2,calc!B801,calc!C801-calc!B801)</f>
        <v>#VALUE!</v>
      </c>
    </row>
    <row r="802" spans="2:4" ht="16.5" customHeight="1">
      <c r="B802" s="2" t="e">
        <f t="shared" si="13"/>
        <v>#VALUE!</v>
      </c>
      <c r="C802" t="e">
        <f>FIND(" ",SUBSTITUTE($F$2, CHAR(10), " "),calc!B802)</f>
        <v>#VALUE!</v>
      </c>
      <c r="D802" t="e">
        <f>MID($F$2,calc!B802,calc!C802-calc!B802)</f>
        <v>#VALUE!</v>
      </c>
    </row>
    <row r="803" spans="2:4" ht="16.5" customHeight="1">
      <c r="B803" s="2" t="e">
        <f t="shared" si="13"/>
        <v>#VALUE!</v>
      </c>
      <c r="C803" t="e">
        <f>FIND(" ",SUBSTITUTE($F$2, CHAR(10), " "),calc!B803)</f>
        <v>#VALUE!</v>
      </c>
      <c r="D803" t="e">
        <f>MID($F$2,calc!B803,calc!C803-calc!B803)</f>
        <v>#VALUE!</v>
      </c>
    </row>
    <row r="804" spans="2:4" ht="16.5" customHeight="1">
      <c r="B804" s="2" t="e">
        <f t="shared" si="13"/>
        <v>#VALUE!</v>
      </c>
      <c r="C804" t="e">
        <f>FIND(" ",SUBSTITUTE($F$2, CHAR(10), " "),calc!B804)</f>
        <v>#VALUE!</v>
      </c>
      <c r="D804" t="e">
        <f>MID($F$2,calc!B804,calc!C804-calc!B804)</f>
        <v>#VALUE!</v>
      </c>
    </row>
    <row r="805" spans="2:4" ht="16.5" customHeight="1">
      <c r="B805" s="2" t="e">
        <f t="shared" si="13"/>
        <v>#VALUE!</v>
      </c>
      <c r="C805" t="e">
        <f>FIND(" ",SUBSTITUTE($F$2, CHAR(10), " "),calc!B805)</f>
        <v>#VALUE!</v>
      </c>
      <c r="D805" t="e">
        <f>MID($F$2,calc!B805,calc!C805-calc!B805)</f>
        <v>#VALUE!</v>
      </c>
    </row>
    <row r="806" spans="2:4" ht="16.5" customHeight="1">
      <c r="B806" s="2" t="e">
        <f t="shared" si="13"/>
        <v>#VALUE!</v>
      </c>
      <c r="C806" t="e">
        <f>FIND(" ",SUBSTITUTE($F$2, CHAR(10), " "),calc!B806)</f>
        <v>#VALUE!</v>
      </c>
      <c r="D806" t="e">
        <f>MID($F$2,calc!B806,calc!C806-calc!B806)</f>
        <v>#VALUE!</v>
      </c>
    </row>
    <row r="807" spans="2:4" ht="16.5" customHeight="1">
      <c r="B807" s="2" t="e">
        <f t="shared" si="13"/>
        <v>#VALUE!</v>
      </c>
      <c r="C807" t="e">
        <f>FIND(" ",SUBSTITUTE($F$2, CHAR(10), " "),calc!B807)</f>
        <v>#VALUE!</v>
      </c>
      <c r="D807" t="e">
        <f>MID($F$2,calc!B807,calc!C807-calc!B807)</f>
        <v>#VALUE!</v>
      </c>
    </row>
    <row r="808" spans="2:4" ht="16.5" customHeight="1">
      <c r="B808" s="2" t="e">
        <f t="shared" si="13"/>
        <v>#VALUE!</v>
      </c>
      <c r="C808" t="e">
        <f>FIND(" ",SUBSTITUTE($F$2, CHAR(10), " "),calc!B808)</f>
        <v>#VALUE!</v>
      </c>
      <c r="D808" t="e">
        <f>MID($F$2,calc!B808,calc!C808-calc!B808)</f>
        <v>#VALUE!</v>
      </c>
    </row>
    <row r="809" spans="2:4" ht="16.5" customHeight="1">
      <c r="B809" s="2" t="e">
        <f t="shared" si="13"/>
        <v>#VALUE!</v>
      </c>
      <c r="C809" t="e">
        <f>FIND(" ",SUBSTITUTE($F$2, CHAR(10), " "),calc!B809)</f>
        <v>#VALUE!</v>
      </c>
      <c r="D809" t="e">
        <f>MID($F$2,calc!B809,calc!C809-calc!B809)</f>
        <v>#VALUE!</v>
      </c>
    </row>
    <row r="810" spans="2:4" ht="16.5" customHeight="1">
      <c r="B810" s="2" t="e">
        <f t="shared" si="13"/>
        <v>#VALUE!</v>
      </c>
      <c r="C810" t="e">
        <f>FIND(" ",SUBSTITUTE($F$2, CHAR(10), " "),calc!B810)</f>
        <v>#VALUE!</v>
      </c>
      <c r="D810" t="e">
        <f>MID($F$2,calc!B810,calc!C810-calc!B810)</f>
        <v>#VALUE!</v>
      </c>
    </row>
    <row r="811" spans="2:4" ht="16.5" customHeight="1">
      <c r="B811" s="2" t="e">
        <f t="shared" si="13"/>
        <v>#VALUE!</v>
      </c>
      <c r="C811" t="e">
        <f>FIND(" ",SUBSTITUTE($F$2, CHAR(10), " "),calc!B811)</f>
        <v>#VALUE!</v>
      </c>
      <c r="D811" t="e">
        <f>MID($F$2,calc!B811,calc!C811-calc!B811)</f>
        <v>#VALUE!</v>
      </c>
    </row>
    <row r="812" spans="2:4" ht="16.5" customHeight="1">
      <c r="B812" s="2" t="e">
        <f t="shared" si="13"/>
        <v>#VALUE!</v>
      </c>
      <c r="C812" t="e">
        <f>FIND(" ",SUBSTITUTE($F$2, CHAR(10), " "),calc!B812)</f>
        <v>#VALUE!</v>
      </c>
      <c r="D812" t="e">
        <f>MID($F$2,calc!B812,calc!C812-calc!B812)</f>
        <v>#VALUE!</v>
      </c>
    </row>
    <row r="813" spans="2:4" ht="16.5" customHeight="1">
      <c r="B813" s="2" t="e">
        <f t="shared" si="13"/>
        <v>#VALUE!</v>
      </c>
      <c r="C813" t="e">
        <f>FIND(" ",SUBSTITUTE($F$2, CHAR(10), " "),calc!B813)</f>
        <v>#VALUE!</v>
      </c>
      <c r="D813" t="e">
        <f>MID($F$2,calc!B813,calc!C813-calc!B813)</f>
        <v>#VALUE!</v>
      </c>
    </row>
    <row r="814" spans="2:4" ht="16.5" customHeight="1">
      <c r="B814" s="2" t="e">
        <f t="shared" si="13"/>
        <v>#VALUE!</v>
      </c>
      <c r="C814" t="e">
        <f>FIND(" ",SUBSTITUTE($F$2, CHAR(10), " "),calc!B814)</f>
        <v>#VALUE!</v>
      </c>
      <c r="D814" t="e">
        <f>MID($F$2,calc!B814,calc!C814-calc!B814)</f>
        <v>#VALUE!</v>
      </c>
    </row>
    <row r="815" spans="2:4" ht="16.5" customHeight="1">
      <c r="B815" s="2" t="e">
        <f t="shared" si="13"/>
        <v>#VALUE!</v>
      </c>
      <c r="C815" t="e">
        <f>FIND(" ",SUBSTITUTE($F$2, CHAR(10), " "),calc!B815)</f>
        <v>#VALUE!</v>
      </c>
      <c r="D815" t="e">
        <f>MID($F$2,calc!B815,calc!C815-calc!B815)</f>
        <v>#VALUE!</v>
      </c>
    </row>
    <row r="816" spans="2:4" ht="16.5" customHeight="1">
      <c r="B816" s="2" t="e">
        <f t="shared" si="13"/>
        <v>#VALUE!</v>
      </c>
      <c r="C816" t="e">
        <f>FIND(" ",SUBSTITUTE($F$2, CHAR(10), " "),calc!B816)</f>
        <v>#VALUE!</v>
      </c>
      <c r="D816" t="e">
        <f>MID($F$2,calc!B816,calc!C816-calc!B816)</f>
        <v>#VALUE!</v>
      </c>
    </row>
    <row r="817" spans="2:4" ht="16.5" customHeight="1">
      <c r="B817" s="2" t="e">
        <f t="shared" si="13"/>
        <v>#VALUE!</v>
      </c>
      <c r="C817" t="e">
        <f>FIND(" ",SUBSTITUTE($F$2, CHAR(10), " "),calc!B817)</f>
        <v>#VALUE!</v>
      </c>
      <c r="D817" t="e">
        <f>MID($F$2,calc!B817,calc!C817-calc!B817)</f>
        <v>#VALUE!</v>
      </c>
    </row>
    <row r="818" spans="2:4" ht="16.5" customHeight="1">
      <c r="B818" s="2" t="e">
        <f t="shared" si="13"/>
        <v>#VALUE!</v>
      </c>
      <c r="C818" t="e">
        <f>FIND(" ",SUBSTITUTE($F$2, CHAR(10), " "),calc!B818)</f>
        <v>#VALUE!</v>
      </c>
      <c r="D818" t="e">
        <f>MID($F$2,calc!B818,calc!C818-calc!B818)</f>
        <v>#VALUE!</v>
      </c>
    </row>
    <row r="819" spans="2:4" ht="16.5" customHeight="1">
      <c r="B819" s="2" t="e">
        <f t="shared" si="13"/>
        <v>#VALUE!</v>
      </c>
      <c r="C819" t="e">
        <f>FIND(" ",SUBSTITUTE($F$2, CHAR(10), " "),calc!B819)</f>
        <v>#VALUE!</v>
      </c>
      <c r="D819" t="e">
        <f>MID($F$2,calc!B819,calc!C819-calc!B819)</f>
        <v>#VALUE!</v>
      </c>
    </row>
    <row r="820" spans="2:4" ht="16.5" customHeight="1">
      <c r="B820" s="2" t="e">
        <f t="shared" si="13"/>
        <v>#VALUE!</v>
      </c>
      <c r="C820" t="e">
        <f>FIND(" ",SUBSTITUTE($F$2, CHAR(10), " "),calc!B820)</f>
        <v>#VALUE!</v>
      </c>
      <c r="D820" t="e">
        <f>MID($F$2,calc!B820,calc!C820-calc!B820)</f>
        <v>#VALUE!</v>
      </c>
    </row>
    <row r="821" spans="2:4" ht="16.5" customHeight="1">
      <c r="B821" s="2" t="e">
        <f t="shared" si="13"/>
        <v>#VALUE!</v>
      </c>
      <c r="C821" t="e">
        <f>FIND(" ",SUBSTITUTE($F$2, CHAR(10), " "),calc!B821)</f>
        <v>#VALUE!</v>
      </c>
      <c r="D821" t="e">
        <f>MID($F$2,calc!B821,calc!C821-calc!B821)</f>
        <v>#VALUE!</v>
      </c>
    </row>
    <row r="822" spans="2:4" ht="16.5" customHeight="1">
      <c r="B822" s="2" t="e">
        <f t="shared" si="13"/>
        <v>#VALUE!</v>
      </c>
      <c r="C822" t="e">
        <f>FIND(" ",SUBSTITUTE($F$2, CHAR(10), " "),calc!B822)</f>
        <v>#VALUE!</v>
      </c>
      <c r="D822" t="e">
        <f>MID($F$2,calc!B822,calc!C822-calc!B822)</f>
        <v>#VALUE!</v>
      </c>
    </row>
    <row r="823" spans="2:4" ht="16.5" customHeight="1">
      <c r="B823" s="2" t="e">
        <f t="shared" si="13"/>
        <v>#VALUE!</v>
      </c>
      <c r="C823" t="e">
        <f>FIND(" ",SUBSTITUTE($F$2, CHAR(10), " "),calc!B823)</f>
        <v>#VALUE!</v>
      </c>
      <c r="D823" t="e">
        <f>MID($F$2,calc!B823,calc!C823-calc!B823)</f>
        <v>#VALUE!</v>
      </c>
    </row>
    <row r="824" spans="2:4" ht="16.5" customHeight="1">
      <c r="B824" s="2" t="e">
        <f t="shared" si="13"/>
        <v>#VALUE!</v>
      </c>
      <c r="C824" t="e">
        <f>FIND(" ",SUBSTITUTE($F$2, CHAR(10), " "),calc!B824)</f>
        <v>#VALUE!</v>
      </c>
      <c r="D824" t="e">
        <f>MID($F$2,calc!B824,calc!C824-calc!B824)</f>
        <v>#VALUE!</v>
      </c>
    </row>
    <row r="825" spans="2:4" ht="16.5" customHeight="1">
      <c r="B825" s="2" t="e">
        <f t="shared" si="13"/>
        <v>#VALUE!</v>
      </c>
      <c r="C825" t="e">
        <f>FIND(" ",SUBSTITUTE($F$2, CHAR(10), " "),calc!B825)</f>
        <v>#VALUE!</v>
      </c>
      <c r="D825" t="e">
        <f>MID($F$2,calc!B825,calc!C825-calc!B825)</f>
        <v>#VALUE!</v>
      </c>
    </row>
    <row r="826" spans="2:4" ht="16.5" customHeight="1">
      <c r="B826" s="2" t="e">
        <f t="shared" si="13"/>
        <v>#VALUE!</v>
      </c>
      <c r="C826" t="e">
        <f>FIND(" ",SUBSTITUTE($F$2, CHAR(10), " "),calc!B826)</f>
        <v>#VALUE!</v>
      </c>
      <c r="D826" t="e">
        <f>MID($F$2,calc!B826,calc!C826-calc!B826)</f>
        <v>#VALUE!</v>
      </c>
    </row>
    <row r="827" spans="2:4" ht="16.5" customHeight="1">
      <c r="B827" s="2" t="e">
        <f t="shared" si="13"/>
        <v>#VALUE!</v>
      </c>
      <c r="C827" t="e">
        <f>FIND(" ",SUBSTITUTE($F$2, CHAR(10), " "),calc!B827)</f>
        <v>#VALUE!</v>
      </c>
      <c r="D827" t="e">
        <f>MID($F$2,calc!B827,calc!C827-calc!B827)</f>
        <v>#VALUE!</v>
      </c>
    </row>
    <row r="828" spans="2:4" ht="16.5" customHeight="1">
      <c r="B828" s="2" t="e">
        <f t="shared" si="13"/>
        <v>#VALUE!</v>
      </c>
      <c r="C828" t="e">
        <f>FIND(" ",SUBSTITUTE($F$2, CHAR(10), " "),calc!B828)</f>
        <v>#VALUE!</v>
      </c>
      <c r="D828" t="e">
        <f>MID($F$2,calc!B828,calc!C828-calc!B828)</f>
        <v>#VALUE!</v>
      </c>
    </row>
    <row r="829" spans="2:4" ht="16.5" customHeight="1">
      <c r="B829" s="2" t="e">
        <f t="shared" si="13"/>
        <v>#VALUE!</v>
      </c>
      <c r="C829" t="e">
        <f>FIND(" ",SUBSTITUTE($F$2, CHAR(10), " "),calc!B829)</f>
        <v>#VALUE!</v>
      </c>
      <c r="D829" t="e">
        <f>MID($F$2,calc!B829,calc!C829-calc!B829)</f>
        <v>#VALUE!</v>
      </c>
    </row>
    <row r="830" spans="2:4" ht="16.5" customHeight="1">
      <c r="B830" s="2" t="e">
        <f t="shared" si="13"/>
        <v>#VALUE!</v>
      </c>
      <c r="C830" t="e">
        <f>FIND(" ",SUBSTITUTE($F$2, CHAR(10), " "),calc!B830)</f>
        <v>#VALUE!</v>
      </c>
      <c r="D830" t="e">
        <f>MID($F$2,calc!B830,calc!C830-calc!B830)</f>
        <v>#VALUE!</v>
      </c>
    </row>
    <row r="831" spans="2:4" ht="16.5" customHeight="1">
      <c r="B831" s="2" t="e">
        <f t="shared" si="13"/>
        <v>#VALUE!</v>
      </c>
      <c r="C831" t="e">
        <f>FIND(" ",SUBSTITUTE($F$2, CHAR(10), " "),calc!B831)</f>
        <v>#VALUE!</v>
      </c>
      <c r="D831" t="e">
        <f>MID($F$2,calc!B831,calc!C831-calc!B831)</f>
        <v>#VALUE!</v>
      </c>
    </row>
    <row r="832" spans="2:4" ht="16.5" customHeight="1">
      <c r="B832" s="2" t="e">
        <f t="shared" si="13"/>
        <v>#VALUE!</v>
      </c>
      <c r="C832" t="e">
        <f>FIND(" ",SUBSTITUTE($F$2, CHAR(10), " "),calc!B832)</f>
        <v>#VALUE!</v>
      </c>
      <c r="D832" t="e">
        <f>MID($F$2,calc!B832,calc!C832-calc!B832)</f>
        <v>#VALUE!</v>
      </c>
    </row>
    <row r="833" spans="2:4" ht="16.5" customHeight="1">
      <c r="B833" s="2" t="e">
        <f t="shared" si="13"/>
        <v>#VALUE!</v>
      </c>
      <c r="C833" t="e">
        <f>FIND(" ",SUBSTITUTE($F$2, CHAR(10), " "),calc!B833)</f>
        <v>#VALUE!</v>
      </c>
      <c r="D833" t="e">
        <f>MID($F$2,calc!B833,calc!C833-calc!B833)</f>
        <v>#VALUE!</v>
      </c>
    </row>
    <row r="834" spans="2:4" ht="16.5" customHeight="1">
      <c r="B834" s="2" t="e">
        <f t="shared" si="13"/>
        <v>#VALUE!</v>
      </c>
      <c r="C834" t="e">
        <f>FIND(" ",SUBSTITUTE($F$2, CHAR(10), " "),calc!B834)</f>
        <v>#VALUE!</v>
      </c>
      <c r="D834" t="e">
        <f>MID($F$2,calc!B834,calc!C834-calc!B834)</f>
        <v>#VALUE!</v>
      </c>
    </row>
    <row r="835" spans="2:4" ht="16.5" customHeight="1">
      <c r="B835" s="2" t="e">
        <f t="shared" ref="B835:B898" si="14">FIND("#", $F$2, B834 +1)</f>
        <v>#VALUE!</v>
      </c>
      <c r="C835" t="e">
        <f>FIND(" ",SUBSTITUTE($F$2, CHAR(10), " "),calc!B835)</f>
        <v>#VALUE!</v>
      </c>
      <c r="D835" t="e">
        <f>MID($F$2,calc!B835,calc!C835-calc!B835)</f>
        <v>#VALUE!</v>
      </c>
    </row>
    <row r="836" spans="2:4" ht="16.5" customHeight="1">
      <c r="B836" s="2" t="e">
        <f t="shared" si="14"/>
        <v>#VALUE!</v>
      </c>
      <c r="C836" t="e">
        <f>FIND(" ",SUBSTITUTE($F$2, CHAR(10), " "),calc!B836)</f>
        <v>#VALUE!</v>
      </c>
      <c r="D836" t="e">
        <f>MID($F$2,calc!B836,calc!C836-calc!B836)</f>
        <v>#VALUE!</v>
      </c>
    </row>
    <row r="837" spans="2:4" ht="16.5" customHeight="1">
      <c r="B837" s="2" t="e">
        <f t="shared" si="14"/>
        <v>#VALUE!</v>
      </c>
      <c r="C837" t="e">
        <f>FIND(" ",SUBSTITUTE($F$2, CHAR(10), " "),calc!B837)</f>
        <v>#VALUE!</v>
      </c>
      <c r="D837" t="e">
        <f>MID($F$2,calc!B837,calc!C837-calc!B837)</f>
        <v>#VALUE!</v>
      </c>
    </row>
    <row r="838" spans="2:4" ht="16.5" customHeight="1">
      <c r="B838" s="2" t="e">
        <f t="shared" si="14"/>
        <v>#VALUE!</v>
      </c>
      <c r="C838" t="e">
        <f>FIND(" ",SUBSTITUTE($F$2, CHAR(10), " "),calc!B838)</f>
        <v>#VALUE!</v>
      </c>
      <c r="D838" t="e">
        <f>MID($F$2,calc!B838,calc!C838-calc!B838)</f>
        <v>#VALUE!</v>
      </c>
    </row>
    <row r="839" spans="2:4" ht="16.5" customHeight="1">
      <c r="B839" s="2" t="e">
        <f t="shared" si="14"/>
        <v>#VALUE!</v>
      </c>
      <c r="C839" t="e">
        <f>FIND(" ",SUBSTITUTE($F$2, CHAR(10), " "),calc!B839)</f>
        <v>#VALUE!</v>
      </c>
      <c r="D839" t="e">
        <f>MID($F$2,calc!B839,calc!C839-calc!B839)</f>
        <v>#VALUE!</v>
      </c>
    </row>
    <row r="840" spans="2:4" ht="16.5" customHeight="1">
      <c r="B840" s="2" t="e">
        <f t="shared" si="14"/>
        <v>#VALUE!</v>
      </c>
      <c r="C840" t="e">
        <f>FIND(" ",SUBSTITUTE($F$2, CHAR(10), " "),calc!B840)</f>
        <v>#VALUE!</v>
      </c>
      <c r="D840" t="e">
        <f>MID($F$2,calc!B840,calc!C840-calc!B840)</f>
        <v>#VALUE!</v>
      </c>
    </row>
    <row r="841" spans="2:4" ht="16.5" customHeight="1">
      <c r="B841" s="2" t="e">
        <f t="shared" si="14"/>
        <v>#VALUE!</v>
      </c>
      <c r="C841" t="e">
        <f>FIND(" ",SUBSTITUTE($F$2, CHAR(10), " "),calc!B841)</f>
        <v>#VALUE!</v>
      </c>
      <c r="D841" t="e">
        <f>MID($F$2,calc!B841,calc!C841-calc!B841)</f>
        <v>#VALUE!</v>
      </c>
    </row>
    <row r="842" spans="2:4" ht="16.5" customHeight="1">
      <c r="B842" s="2" t="e">
        <f t="shared" si="14"/>
        <v>#VALUE!</v>
      </c>
      <c r="C842" t="e">
        <f>FIND(" ",SUBSTITUTE($F$2, CHAR(10), " "),calc!B842)</f>
        <v>#VALUE!</v>
      </c>
      <c r="D842" t="e">
        <f>MID($F$2,calc!B842,calc!C842-calc!B842)</f>
        <v>#VALUE!</v>
      </c>
    </row>
    <row r="843" spans="2:4" ht="16.5" customHeight="1">
      <c r="B843" s="2" t="e">
        <f t="shared" si="14"/>
        <v>#VALUE!</v>
      </c>
      <c r="C843" t="e">
        <f>FIND(" ",SUBSTITUTE($F$2, CHAR(10), " "),calc!B843)</f>
        <v>#VALUE!</v>
      </c>
      <c r="D843" t="e">
        <f>MID($F$2,calc!B843,calc!C843-calc!B843)</f>
        <v>#VALUE!</v>
      </c>
    </row>
    <row r="844" spans="2:4" ht="16.5" customHeight="1">
      <c r="B844" s="2" t="e">
        <f t="shared" si="14"/>
        <v>#VALUE!</v>
      </c>
      <c r="C844" t="e">
        <f>FIND(" ",SUBSTITUTE($F$2, CHAR(10), " "),calc!B844)</f>
        <v>#VALUE!</v>
      </c>
      <c r="D844" t="e">
        <f>MID($F$2,calc!B844,calc!C844-calc!B844)</f>
        <v>#VALUE!</v>
      </c>
    </row>
    <row r="845" spans="2:4" ht="16.5" customHeight="1">
      <c r="B845" s="2" t="e">
        <f t="shared" si="14"/>
        <v>#VALUE!</v>
      </c>
      <c r="C845" t="e">
        <f>FIND(" ",SUBSTITUTE($F$2, CHAR(10), " "),calc!B845)</f>
        <v>#VALUE!</v>
      </c>
      <c r="D845" t="e">
        <f>MID($F$2,calc!B845,calc!C845-calc!B845)</f>
        <v>#VALUE!</v>
      </c>
    </row>
    <row r="846" spans="2:4" ht="16.5" customHeight="1">
      <c r="B846" s="2" t="e">
        <f t="shared" si="14"/>
        <v>#VALUE!</v>
      </c>
      <c r="C846" t="e">
        <f>FIND(" ",SUBSTITUTE($F$2, CHAR(10), " "),calc!B846)</f>
        <v>#VALUE!</v>
      </c>
      <c r="D846" t="e">
        <f>MID($F$2,calc!B846,calc!C846-calc!B846)</f>
        <v>#VALUE!</v>
      </c>
    </row>
    <row r="847" spans="2:4" ht="16.5" customHeight="1">
      <c r="B847" s="2" t="e">
        <f t="shared" si="14"/>
        <v>#VALUE!</v>
      </c>
      <c r="C847" t="e">
        <f>FIND(" ",SUBSTITUTE($F$2, CHAR(10), " "),calc!B847)</f>
        <v>#VALUE!</v>
      </c>
      <c r="D847" t="e">
        <f>MID($F$2,calc!B847,calc!C847-calc!B847)</f>
        <v>#VALUE!</v>
      </c>
    </row>
    <row r="848" spans="2:4" ht="16.5" customHeight="1">
      <c r="B848" s="2" t="e">
        <f t="shared" si="14"/>
        <v>#VALUE!</v>
      </c>
      <c r="C848" t="e">
        <f>FIND(" ",SUBSTITUTE($F$2, CHAR(10), " "),calc!B848)</f>
        <v>#VALUE!</v>
      </c>
      <c r="D848" t="e">
        <f>MID($F$2,calc!B848,calc!C848-calc!B848)</f>
        <v>#VALUE!</v>
      </c>
    </row>
    <row r="849" spans="2:4" ht="16.5" customHeight="1">
      <c r="B849" s="2" t="e">
        <f t="shared" si="14"/>
        <v>#VALUE!</v>
      </c>
      <c r="C849" t="e">
        <f>FIND(" ",SUBSTITUTE($F$2, CHAR(10), " "),calc!B849)</f>
        <v>#VALUE!</v>
      </c>
      <c r="D849" t="e">
        <f>MID($F$2,calc!B849,calc!C849-calc!B849)</f>
        <v>#VALUE!</v>
      </c>
    </row>
    <row r="850" spans="2:4" ht="16.5" customHeight="1">
      <c r="B850" s="2" t="e">
        <f t="shared" si="14"/>
        <v>#VALUE!</v>
      </c>
      <c r="C850" t="e">
        <f>FIND(" ",SUBSTITUTE($F$2, CHAR(10), " "),calc!B850)</f>
        <v>#VALUE!</v>
      </c>
      <c r="D850" t="e">
        <f>MID($F$2,calc!B850,calc!C850-calc!B850)</f>
        <v>#VALUE!</v>
      </c>
    </row>
    <row r="851" spans="2:4" ht="16.5" customHeight="1">
      <c r="B851" s="2" t="e">
        <f t="shared" si="14"/>
        <v>#VALUE!</v>
      </c>
      <c r="C851" t="e">
        <f>FIND(" ",SUBSTITUTE($F$2, CHAR(10), " "),calc!B851)</f>
        <v>#VALUE!</v>
      </c>
      <c r="D851" t="e">
        <f>MID($F$2,calc!B851,calc!C851-calc!B851)</f>
        <v>#VALUE!</v>
      </c>
    </row>
    <row r="852" spans="2:4" ht="16.5" customHeight="1">
      <c r="B852" s="2" t="e">
        <f t="shared" si="14"/>
        <v>#VALUE!</v>
      </c>
      <c r="C852" t="e">
        <f>FIND(" ",SUBSTITUTE($F$2, CHAR(10), " "),calc!B852)</f>
        <v>#VALUE!</v>
      </c>
      <c r="D852" t="e">
        <f>MID($F$2,calc!B852,calc!C852-calc!B852)</f>
        <v>#VALUE!</v>
      </c>
    </row>
    <row r="853" spans="2:4" ht="16.5" customHeight="1">
      <c r="B853" s="2" t="e">
        <f t="shared" si="14"/>
        <v>#VALUE!</v>
      </c>
      <c r="C853" t="e">
        <f>FIND(" ",SUBSTITUTE($F$2, CHAR(10), " "),calc!B853)</f>
        <v>#VALUE!</v>
      </c>
      <c r="D853" t="e">
        <f>MID($F$2,calc!B853,calc!C853-calc!B853)</f>
        <v>#VALUE!</v>
      </c>
    </row>
    <row r="854" spans="2:4" ht="16.5" customHeight="1">
      <c r="B854" s="2" t="e">
        <f t="shared" si="14"/>
        <v>#VALUE!</v>
      </c>
      <c r="C854" t="e">
        <f>FIND(" ",SUBSTITUTE($F$2, CHAR(10), " "),calc!B854)</f>
        <v>#VALUE!</v>
      </c>
      <c r="D854" t="e">
        <f>MID($F$2,calc!B854,calc!C854-calc!B854)</f>
        <v>#VALUE!</v>
      </c>
    </row>
    <row r="855" spans="2:4" ht="16.5" customHeight="1">
      <c r="B855" s="2" t="e">
        <f t="shared" si="14"/>
        <v>#VALUE!</v>
      </c>
      <c r="C855" t="e">
        <f>FIND(" ",SUBSTITUTE($F$2, CHAR(10), " "),calc!B855)</f>
        <v>#VALUE!</v>
      </c>
      <c r="D855" t="e">
        <f>MID($F$2,calc!B855,calc!C855-calc!B855)</f>
        <v>#VALUE!</v>
      </c>
    </row>
    <row r="856" spans="2:4" ht="16.5" customHeight="1">
      <c r="B856" s="2" t="e">
        <f t="shared" si="14"/>
        <v>#VALUE!</v>
      </c>
      <c r="C856" t="e">
        <f>FIND(" ",SUBSTITUTE($F$2, CHAR(10), " "),calc!B856)</f>
        <v>#VALUE!</v>
      </c>
      <c r="D856" t="e">
        <f>MID($F$2,calc!B856,calc!C856-calc!B856)</f>
        <v>#VALUE!</v>
      </c>
    </row>
    <row r="857" spans="2:4" ht="16.5" customHeight="1">
      <c r="B857" s="2" t="e">
        <f t="shared" si="14"/>
        <v>#VALUE!</v>
      </c>
      <c r="C857" t="e">
        <f>FIND(" ",SUBSTITUTE($F$2, CHAR(10), " "),calc!B857)</f>
        <v>#VALUE!</v>
      </c>
      <c r="D857" t="e">
        <f>MID($F$2,calc!B857,calc!C857-calc!B857)</f>
        <v>#VALUE!</v>
      </c>
    </row>
    <row r="858" spans="2:4" ht="16.5" customHeight="1">
      <c r="B858" s="2" t="e">
        <f t="shared" si="14"/>
        <v>#VALUE!</v>
      </c>
      <c r="C858" t="e">
        <f>FIND(" ",SUBSTITUTE($F$2, CHAR(10), " "),calc!B858)</f>
        <v>#VALUE!</v>
      </c>
      <c r="D858" t="e">
        <f>MID($F$2,calc!B858,calc!C858-calc!B858)</f>
        <v>#VALUE!</v>
      </c>
    </row>
    <row r="859" spans="2:4" ht="16.5" customHeight="1">
      <c r="B859" s="2" t="e">
        <f t="shared" si="14"/>
        <v>#VALUE!</v>
      </c>
      <c r="C859" t="e">
        <f>FIND(" ",SUBSTITUTE($F$2, CHAR(10), " "),calc!B859)</f>
        <v>#VALUE!</v>
      </c>
      <c r="D859" t="e">
        <f>MID($F$2,calc!B859,calc!C859-calc!B859)</f>
        <v>#VALUE!</v>
      </c>
    </row>
    <row r="860" spans="2:4" ht="16.5" customHeight="1">
      <c r="B860" s="2" t="e">
        <f t="shared" si="14"/>
        <v>#VALUE!</v>
      </c>
      <c r="C860" t="e">
        <f>FIND(" ",SUBSTITUTE($F$2, CHAR(10), " "),calc!B860)</f>
        <v>#VALUE!</v>
      </c>
      <c r="D860" t="e">
        <f>MID($F$2,calc!B860,calc!C860-calc!B860)</f>
        <v>#VALUE!</v>
      </c>
    </row>
    <row r="861" spans="2:4" ht="16.5" customHeight="1">
      <c r="B861" s="2" t="e">
        <f t="shared" si="14"/>
        <v>#VALUE!</v>
      </c>
      <c r="C861" t="e">
        <f>FIND(" ",SUBSTITUTE($F$2, CHAR(10), " "),calc!B861)</f>
        <v>#VALUE!</v>
      </c>
      <c r="D861" t="e">
        <f>MID($F$2,calc!B861,calc!C861-calc!B861)</f>
        <v>#VALUE!</v>
      </c>
    </row>
    <row r="862" spans="2:4" ht="16.5" customHeight="1">
      <c r="B862" s="2" t="e">
        <f t="shared" si="14"/>
        <v>#VALUE!</v>
      </c>
      <c r="C862" t="e">
        <f>FIND(" ",SUBSTITUTE($F$2, CHAR(10), " "),calc!B862)</f>
        <v>#VALUE!</v>
      </c>
      <c r="D862" t="e">
        <f>MID($F$2,calc!B862,calc!C862-calc!B862)</f>
        <v>#VALUE!</v>
      </c>
    </row>
    <row r="863" spans="2:4" ht="16.5" customHeight="1">
      <c r="B863" s="2" t="e">
        <f t="shared" si="14"/>
        <v>#VALUE!</v>
      </c>
      <c r="C863" t="e">
        <f>FIND(" ",SUBSTITUTE($F$2, CHAR(10), " "),calc!B863)</f>
        <v>#VALUE!</v>
      </c>
      <c r="D863" t="e">
        <f>MID($F$2,calc!B863,calc!C863-calc!B863)</f>
        <v>#VALUE!</v>
      </c>
    </row>
    <row r="864" spans="2:4" ht="16.5" customHeight="1">
      <c r="B864" s="2" t="e">
        <f t="shared" si="14"/>
        <v>#VALUE!</v>
      </c>
      <c r="C864" t="e">
        <f>FIND(" ",SUBSTITUTE($F$2, CHAR(10), " "),calc!B864)</f>
        <v>#VALUE!</v>
      </c>
      <c r="D864" t="e">
        <f>MID($F$2,calc!B864,calc!C864-calc!B864)</f>
        <v>#VALUE!</v>
      </c>
    </row>
    <row r="865" spans="2:4" ht="16.5" customHeight="1">
      <c r="B865" s="2" t="e">
        <f t="shared" si="14"/>
        <v>#VALUE!</v>
      </c>
      <c r="C865" t="e">
        <f>FIND(" ",SUBSTITUTE($F$2, CHAR(10), " "),calc!B865)</f>
        <v>#VALUE!</v>
      </c>
      <c r="D865" t="e">
        <f>MID($F$2,calc!B865,calc!C865-calc!B865)</f>
        <v>#VALUE!</v>
      </c>
    </row>
    <row r="866" spans="2:4" ht="16.5" customHeight="1">
      <c r="B866" s="2" t="e">
        <f t="shared" si="14"/>
        <v>#VALUE!</v>
      </c>
      <c r="C866" t="e">
        <f>FIND(" ",SUBSTITUTE($F$2, CHAR(10), " "),calc!B866)</f>
        <v>#VALUE!</v>
      </c>
      <c r="D866" t="e">
        <f>MID($F$2,calc!B866,calc!C866-calc!B866)</f>
        <v>#VALUE!</v>
      </c>
    </row>
    <row r="867" spans="2:4" ht="16.5" customHeight="1">
      <c r="B867" s="2" t="e">
        <f t="shared" si="14"/>
        <v>#VALUE!</v>
      </c>
      <c r="C867" t="e">
        <f>FIND(" ",SUBSTITUTE($F$2, CHAR(10), " "),calc!B867)</f>
        <v>#VALUE!</v>
      </c>
      <c r="D867" t="e">
        <f>MID($F$2,calc!B867,calc!C867-calc!B867)</f>
        <v>#VALUE!</v>
      </c>
    </row>
    <row r="868" spans="2:4" ht="16.5" customHeight="1">
      <c r="B868" s="2" t="e">
        <f t="shared" si="14"/>
        <v>#VALUE!</v>
      </c>
      <c r="C868" t="e">
        <f>FIND(" ",SUBSTITUTE($F$2, CHAR(10), " "),calc!B868)</f>
        <v>#VALUE!</v>
      </c>
      <c r="D868" t="e">
        <f>MID($F$2,calc!B868,calc!C868-calc!B868)</f>
        <v>#VALUE!</v>
      </c>
    </row>
    <row r="869" spans="2:4" ht="16.5" customHeight="1">
      <c r="B869" s="2" t="e">
        <f t="shared" si="14"/>
        <v>#VALUE!</v>
      </c>
      <c r="C869" t="e">
        <f>FIND(" ",SUBSTITUTE($F$2, CHAR(10), " "),calc!B869)</f>
        <v>#VALUE!</v>
      </c>
      <c r="D869" t="e">
        <f>MID($F$2,calc!B869,calc!C869-calc!B869)</f>
        <v>#VALUE!</v>
      </c>
    </row>
    <row r="870" spans="2:4" ht="16.5" customHeight="1">
      <c r="B870" s="2" t="e">
        <f t="shared" si="14"/>
        <v>#VALUE!</v>
      </c>
      <c r="C870" t="e">
        <f>FIND(" ",SUBSTITUTE($F$2, CHAR(10), " "),calc!B870)</f>
        <v>#VALUE!</v>
      </c>
      <c r="D870" t="e">
        <f>MID($F$2,calc!B870,calc!C870-calc!B870)</f>
        <v>#VALUE!</v>
      </c>
    </row>
    <row r="871" spans="2:4" ht="16.5" customHeight="1">
      <c r="B871" s="2" t="e">
        <f t="shared" si="14"/>
        <v>#VALUE!</v>
      </c>
      <c r="C871" t="e">
        <f>FIND(" ",SUBSTITUTE($F$2, CHAR(10), " "),calc!B871)</f>
        <v>#VALUE!</v>
      </c>
      <c r="D871" t="e">
        <f>MID($F$2,calc!B871,calc!C871-calc!B871)</f>
        <v>#VALUE!</v>
      </c>
    </row>
    <row r="872" spans="2:4" ht="16.5" customHeight="1">
      <c r="B872" s="2" t="e">
        <f t="shared" si="14"/>
        <v>#VALUE!</v>
      </c>
      <c r="C872" t="e">
        <f>FIND(" ",SUBSTITUTE($F$2, CHAR(10), " "),calc!B872)</f>
        <v>#VALUE!</v>
      </c>
      <c r="D872" t="e">
        <f>MID($F$2,calc!B872,calc!C872-calc!B872)</f>
        <v>#VALUE!</v>
      </c>
    </row>
    <row r="873" spans="2:4" ht="16.5" customHeight="1">
      <c r="B873" s="2" t="e">
        <f t="shared" si="14"/>
        <v>#VALUE!</v>
      </c>
      <c r="C873" t="e">
        <f>FIND(" ",SUBSTITUTE($F$2, CHAR(10), " "),calc!B873)</f>
        <v>#VALUE!</v>
      </c>
      <c r="D873" t="e">
        <f>MID($F$2,calc!B873,calc!C873-calc!B873)</f>
        <v>#VALUE!</v>
      </c>
    </row>
    <row r="874" spans="2:4" ht="16.5" customHeight="1">
      <c r="B874" s="2" t="e">
        <f t="shared" si="14"/>
        <v>#VALUE!</v>
      </c>
      <c r="C874" t="e">
        <f>FIND(" ",SUBSTITUTE($F$2, CHAR(10), " "),calc!B874)</f>
        <v>#VALUE!</v>
      </c>
      <c r="D874" t="e">
        <f>MID($F$2,calc!B874,calc!C874-calc!B874)</f>
        <v>#VALUE!</v>
      </c>
    </row>
    <row r="875" spans="2:4" ht="16.5" customHeight="1">
      <c r="B875" s="2" t="e">
        <f t="shared" si="14"/>
        <v>#VALUE!</v>
      </c>
      <c r="C875" t="e">
        <f>FIND(" ",SUBSTITUTE($F$2, CHAR(10), " "),calc!B875)</f>
        <v>#VALUE!</v>
      </c>
      <c r="D875" t="e">
        <f>MID($F$2,calc!B875,calc!C875-calc!B875)</f>
        <v>#VALUE!</v>
      </c>
    </row>
    <row r="876" spans="2:4" ht="16.5" customHeight="1">
      <c r="B876" s="2" t="e">
        <f t="shared" si="14"/>
        <v>#VALUE!</v>
      </c>
      <c r="C876" t="e">
        <f>FIND(" ",SUBSTITUTE($F$2, CHAR(10), " "),calc!B876)</f>
        <v>#VALUE!</v>
      </c>
      <c r="D876" t="e">
        <f>MID($F$2,calc!B876,calc!C876-calc!B876)</f>
        <v>#VALUE!</v>
      </c>
    </row>
    <row r="877" spans="2:4" ht="16.5" customHeight="1">
      <c r="B877" s="2" t="e">
        <f t="shared" si="14"/>
        <v>#VALUE!</v>
      </c>
      <c r="C877" t="e">
        <f>FIND(" ",SUBSTITUTE($F$2, CHAR(10), " "),calc!B877)</f>
        <v>#VALUE!</v>
      </c>
      <c r="D877" t="e">
        <f>MID($F$2,calc!B877,calc!C877-calc!B877)</f>
        <v>#VALUE!</v>
      </c>
    </row>
    <row r="878" spans="2:4" ht="16.5" customHeight="1">
      <c r="B878" s="2" t="e">
        <f t="shared" si="14"/>
        <v>#VALUE!</v>
      </c>
      <c r="C878" t="e">
        <f>FIND(" ",SUBSTITUTE($F$2, CHAR(10), " "),calc!B878)</f>
        <v>#VALUE!</v>
      </c>
      <c r="D878" t="e">
        <f>MID($F$2,calc!B878,calc!C878-calc!B878)</f>
        <v>#VALUE!</v>
      </c>
    </row>
    <row r="879" spans="2:4" ht="16.5" customHeight="1">
      <c r="B879" s="2" t="e">
        <f t="shared" si="14"/>
        <v>#VALUE!</v>
      </c>
      <c r="C879" t="e">
        <f>FIND(" ",SUBSTITUTE($F$2, CHAR(10), " "),calc!B879)</f>
        <v>#VALUE!</v>
      </c>
      <c r="D879" t="e">
        <f>MID($F$2,calc!B879,calc!C879-calc!B879)</f>
        <v>#VALUE!</v>
      </c>
    </row>
    <row r="880" spans="2:4" ht="16.5" customHeight="1">
      <c r="B880" s="2" t="e">
        <f t="shared" si="14"/>
        <v>#VALUE!</v>
      </c>
      <c r="C880" t="e">
        <f>FIND(" ",SUBSTITUTE($F$2, CHAR(10), " "),calc!B880)</f>
        <v>#VALUE!</v>
      </c>
      <c r="D880" t="e">
        <f>MID($F$2,calc!B880,calc!C880-calc!B880)</f>
        <v>#VALUE!</v>
      </c>
    </row>
    <row r="881" spans="2:4" ht="16.5" customHeight="1">
      <c r="B881" s="2" t="e">
        <f t="shared" si="14"/>
        <v>#VALUE!</v>
      </c>
      <c r="C881" t="e">
        <f>FIND(" ",SUBSTITUTE($F$2, CHAR(10), " "),calc!B881)</f>
        <v>#VALUE!</v>
      </c>
      <c r="D881" t="e">
        <f>MID($F$2,calc!B881,calc!C881-calc!B881)</f>
        <v>#VALUE!</v>
      </c>
    </row>
    <row r="882" spans="2:4" ht="16.5" customHeight="1">
      <c r="B882" s="2" t="e">
        <f t="shared" si="14"/>
        <v>#VALUE!</v>
      </c>
      <c r="C882" t="e">
        <f>FIND(" ",SUBSTITUTE($F$2, CHAR(10), " "),calc!B882)</f>
        <v>#VALUE!</v>
      </c>
      <c r="D882" t="e">
        <f>MID($F$2,calc!B882,calc!C882-calc!B882)</f>
        <v>#VALUE!</v>
      </c>
    </row>
    <row r="883" spans="2:4" ht="16.5" customHeight="1">
      <c r="B883" s="2" t="e">
        <f t="shared" si="14"/>
        <v>#VALUE!</v>
      </c>
      <c r="C883" t="e">
        <f>FIND(" ",SUBSTITUTE($F$2, CHAR(10), " "),calc!B883)</f>
        <v>#VALUE!</v>
      </c>
      <c r="D883" t="e">
        <f>MID($F$2,calc!B883,calc!C883-calc!B883)</f>
        <v>#VALUE!</v>
      </c>
    </row>
    <row r="884" spans="2:4" ht="16.5" customHeight="1">
      <c r="B884" s="2" t="e">
        <f t="shared" si="14"/>
        <v>#VALUE!</v>
      </c>
      <c r="C884" t="e">
        <f>FIND(" ",SUBSTITUTE($F$2, CHAR(10), " "),calc!B884)</f>
        <v>#VALUE!</v>
      </c>
      <c r="D884" t="e">
        <f>MID($F$2,calc!B884,calc!C884-calc!B884)</f>
        <v>#VALUE!</v>
      </c>
    </row>
    <row r="885" spans="2:4" ht="16.5" customHeight="1">
      <c r="B885" s="2" t="e">
        <f t="shared" si="14"/>
        <v>#VALUE!</v>
      </c>
      <c r="C885" t="e">
        <f>FIND(" ",SUBSTITUTE($F$2, CHAR(10), " "),calc!B885)</f>
        <v>#VALUE!</v>
      </c>
      <c r="D885" t="e">
        <f>MID($F$2,calc!B885,calc!C885-calc!B885)</f>
        <v>#VALUE!</v>
      </c>
    </row>
    <row r="886" spans="2:4" ht="16.5" customHeight="1">
      <c r="B886" s="2" t="e">
        <f t="shared" si="14"/>
        <v>#VALUE!</v>
      </c>
      <c r="C886" t="e">
        <f>FIND(" ",SUBSTITUTE($F$2, CHAR(10), " "),calc!B886)</f>
        <v>#VALUE!</v>
      </c>
      <c r="D886" t="e">
        <f>MID($F$2,calc!B886,calc!C886-calc!B886)</f>
        <v>#VALUE!</v>
      </c>
    </row>
    <row r="887" spans="2:4" ht="16.5" customHeight="1">
      <c r="B887" s="2" t="e">
        <f t="shared" si="14"/>
        <v>#VALUE!</v>
      </c>
      <c r="C887" t="e">
        <f>FIND(" ",SUBSTITUTE($F$2, CHAR(10), " "),calc!B887)</f>
        <v>#VALUE!</v>
      </c>
      <c r="D887" t="e">
        <f>MID($F$2,calc!B887,calc!C887-calc!B887)</f>
        <v>#VALUE!</v>
      </c>
    </row>
    <row r="888" spans="2:4" ht="16.5" customHeight="1">
      <c r="B888" s="2" t="e">
        <f t="shared" si="14"/>
        <v>#VALUE!</v>
      </c>
      <c r="C888" t="e">
        <f>FIND(" ",SUBSTITUTE($F$2, CHAR(10), " "),calc!B888)</f>
        <v>#VALUE!</v>
      </c>
      <c r="D888" t="e">
        <f>MID($F$2,calc!B888,calc!C888-calc!B888)</f>
        <v>#VALUE!</v>
      </c>
    </row>
    <row r="889" spans="2:4" ht="16.5" customHeight="1">
      <c r="B889" s="2" t="e">
        <f t="shared" si="14"/>
        <v>#VALUE!</v>
      </c>
      <c r="C889" t="e">
        <f>FIND(" ",SUBSTITUTE($F$2, CHAR(10), " "),calc!B889)</f>
        <v>#VALUE!</v>
      </c>
      <c r="D889" t="e">
        <f>MID($F$2,calc!B889,calc!C889-calc!B889)</f>
        <v>#VALUE!</v>
      </c>
    </row>
    <row r="890" spans="2:4" ht="16.5" customHeight="1">
      <c r="B890" s="2" t="e">
        <f t="shared" si="14"/>
        <v>#VALUE!</v>
      </c>
      <c r="C890" t="e">
        <f>FIND(" ",SUBSTITUTE($F$2, CHAR(10), " "),calc!B890)</f>
        <v>#VALUE!</v>
      </c>
      <c r="D890" t="e">
        <f>MID($F$2,calc!B890,calc!C890-calc!B890)</f>
        <v>#VALUE!</v>
      </c>
    </row>
    <row r="891" spans="2:4" ht="16.5" customHeight="1">
      <c r="B891" s="2" t="e">
        <f t="shared" si="14"/>
        <v>#VALUE!</v>
      </c>
      <c r="C891" t="e">
        <f>FIND(" ",SUBSTITUTE($F$2, CHAR(10), " "),calc!B891)</f>
        <v>#VALUE!</v>
      </c>
      <c r="D891" t="e">
        <f>MID($F$2,calc!B891,calc!C891-calc!B891)</f>
        <v>#VALUE!</v>
      </c>
    </row>
    <row r="892" spans="2:4" ht="16.5" customHeight="1">
      <c r="B892" s="2" t="e">
        <f t="shared" si="14"/>
        <v>#VALUE!</v>
      </c>
      <c r="C892" t="e">
        <f>FIND(" ",SUBSTITUTE($F$2, CHAR(10), " "),calc!B892)</f>
        <v>#VALUE!</v>
      </c>
      <c r="D892" t="e">
        <f>MID($F$2,calc!B892,calc!C892-calc!B892)</f>
        <v>#VALUE!</v>
      </c>
    </row>
    <row r="893" spans="2:4" ht="16.5" customHeight="1">
      <c r="B893" s="2" t="e">
        <f t="shared" si="14"/>
        <v>#VALUE!</v>
      </c>
      <c r="C893" t="e">
        <f>FIND(" ",SUBSTITUTE($F$2, CHAR(10), " "),calc!B893)</f>
        <v>#VALUE!</v>
      </c>
      <c r="D893" t="e">
        <f>MID($F$2,calc!B893,calc!C893-calc!B893)</f>
        <v>#VALUE!</v>
      </c>
    </row>
    <row r="894" spans="2:4" ht="16.5" customHeight="1">
      <c r="B894" s="2" t="e">
        <f t="shared" si="14"/>
        <v>#VALUE!</v>
      </c>
      <c r="C894" t="e">
        <f>FIND(" ",SUBSTITUTE($F$2, CHAR(10), " "),calc!B894)</f>
        <v>#VALUE!</v>
      </c>
      <c r="D894" t="e">
        <f>MID($F$2,calc!B894,calc!C894-calc!B894)</f>
        <v>#VALUE!</v>
      </c>
    </row>
    <row r="895" spans="2:4" ht="16.5" customHeight="1">
      <c r="B895" s="2" t="e">
        <f t="shared" si="14"/>
        <v>#VALUE!</v>
      </c>
      <c r="C895" t="e">
        <f>FIND(" ",SUBSTITUTE($F$2, CHAR(10), " "),calc!B895)</f>
        <v>#VALUE!</v>
      </c>
      <c r="D895" t="e">
        <f>MID($F$2,calc!B895,calc!C895-calc!B895)</f>
        <v>#VALUE!</v>
      </c>
    </row>
    <row r="896" spans="2:4" ht="16.5" customHeight="1">
      <c r="B896" s="2" t="e">
        <f t="shared" si="14"/>
        <v>#VALUE!</v>
      </c>
      <c r="C896" t="e">
        <f>FIND(" ",SUBSTITUTE($F$2, CHAR(10), " "),calc!B896)</f>
        <v>#VALUE!</v>
      </c>
      <c r="D896" t="e">
        <f>MID($F$2,calc!B896,calc!C896-calc!B896)</f>
        <v>#VALUE!</v>
      </c>
    </row>
    <row r="897" spans="2:4" ht="16.5" customHeight="1">
      <c r="B897" s="2" t="e">
        <f t="shared" si="14"/>
        <v>#VALUE!</v>
      </c>
      <c r="C897" t="e">
        <f>FIND(" ",SUBSTITUTE($F$2, CHAR(10), " "),calc!B897)</f>
        <v>#VALUE!</v>
      </c>
      <c r="D897" t="e">
        <f>MID($F$2,calc!B897,calc!C897-calc!B897)</f>
        <v>#VALUE!</v>
      </c>
    </row>
    <row r="898" spans="2:4" ht="16.5" customHeight="1">
      <c r="B898" s="2" t="e">
        <f t="shared" si="14"/>
        <v>#VALUE!</v>
      </c>
      <c r="C898" t="e">
        <f>FIND(" ",SUBSTITUTE($F$2, CHAR(10), " "),calc!B898)</f>
        <v>#VALUE!</v>
      </c>
      <c r="D898" t="e">
        <f>MID($F$2,calc!B898,calc!C898-calc!B898)</f>
        <v>#VALUE!</v>
      </c>
    </row>
    <row r="899" spans="2:4" ht="16.5" customHeight="1">
      <c r="B899" s="2" t="e">
        <f t="shared" ref="B899:B962" si="15">FIND("#", $F$2, B898 +1)</f>
        <v>#VALUE!</v>
      </c>
      <c r="C899" t="e">
        <f>FIND(" ",SUBSTITUTE($F$2, CHAR(10), " "),calc!B899)</f>
        <v>#VALUE!</v>
      </c>
      <c r="D899" t="e">
        <f>MID($F$2,calc!B899,calc!C899-calc!B899)</f>
        <v>#VALUE!</v>
      </c>
    </row>
    <row r="900" spans="2:4" ht="16.5" customHeight="1">
      <c r="B900" s="2" t="e">
        <f t="shared" si="15"/>
        <v>#VALUE!</v>
      </c>
      <c r="C900" t="e">
        <f>FIND(" ",SUBSTITUTE($F$2, CHAR(10), " "),calc!B900)</f>
        <v>#VALUE!</v>
      </c>
      <c r="D900" t="e">
        <f>MID($F$2,calc!B900,calc!C900-calc!B900)</f>
        <v>#VALUE!</v>
      </c>
    </row>
    <row r="901" spans="2:4" ht="16.5" customHeight="1">
      <c r="B901" s="2" t="e">
        <f t="shared" si="15"/>
        <v>#VALUE!</v>
      </c>
      <c r="C901" t="e">
        <f>FIND(" ",SUBSTITUTE($F$2, CHAR(10), " "),calc!B901)</f>
        <v>#VALUE!</v>
      </c>
      <c r="D901" t="e">
        <f>MID($F$2,calc!B901,calc!C901-calc!B901)</f>
        <v>#VALUE!</v>
      </c>
    </row>
    <row r="902" spans="2:4" ht="16.5" customHeight="1">
      <c r="B902" s="2" t="e">
        <f t="shared" si="15"/>
        <v>#VALUE!</v>
      </c>
      <c r="C902" t="e">
        <f>FIND(" ",SUBSTITUTE($F$2, CHAR(10), " "),calc!B902)</f>
        <v>#VALUE!</v>
      </c>
      <c r="D902" t="e">
        <f>MID($F$2,calc!B902,calc!C902-calc!B902)</f>
        <v>#VALUE!</v>
      </c>
    </row>
    <row r="903" spans="2:4" ht="16.5" customHeight="1">
      <c r="B903" s="2" t="e">
        <f t="shared" si="15"/>
        <v>#VALUE!</v>
      </c>
      <c r="C903" t="e">
        <f>FIND(" ",SUBSTITUTE($F$2, CHAR(10), " "),calc!B903)</f>
        <v>#VALUE!</v>
      </c>
      <c r="D903" t="e">
        <f>MID($F$2,calc!B903,calc!C903-calc!B903)</f>
        <v>#VALUE!</v>
      </c>
    </row>
    <row r="904" spans="2:4" ht="16.5" customHeight="1">
      <c r="B904" s="2" t="e">
        <f t="shared" si="15"/>
        <v>#VALUE!</v>
      </c>
      <c r="C904" t="e">
        <f>FIND(" ",SUBSTITUTE($F$2, CHAR(10), " "),calc!B904)</f>
        <v>#VALUE!</v>
      </c>
      <c r="D904" t="e">
        <f>MID($F$2,calc!B904,calc!C904-calc!B904)</f>
        <v>#VALUE!</v>
      </c>
    </row>
    <row r="905" spans="2:4" ht="16.5" customHeight="1">
      <c r="B905" s="2" t="e">
        <f t="shared" si="15"/>
        <v>#VALUE!</v>
      </c>
      <c r="C905" t="e">
        <f>FIND(" ",SUBSTITUTE($F$2, CHAR(10), " "),calc!B905)</f>
        <v>#VALUE!</v>
      </c>
      <c r="D905" t="e">
        <f>MID($F$2,calc!B905,calc!C905-calc!B905)</f>
        <v>#VALUE!</v>
      </c>
    </row>
    <row r="906" spans="2:4" ht="16.5" customHeight="1">
      <c r="B906" s="2" t="e">
        <f t="shared" si="15"/>
        <v>#VALUE!</v>
      </c>
      <c r="C906" t="e">
        <f>FIND(" ",SUBSTITUTE($F$2, CHAR(10), " "),calc!B906)</f>
        <v>#VALUE!</v>
      </c>
      <c r="D906" t="e">
        <f>MID($F$2,calc!B906,calc!C906-calc!B906)</f>
        <v>#VALUE!</v>
      </c>
    </row>
    <row r="907" spans="2:4" ht="16.5" customHeight="1">
      <c r="B907" s="2" t="e">
        <f t="shared" si="15"/>
        <v>#VALUE!</v>
      </c>
      <c r="C907" t="e">
        <f>FIND(" ",SUBSTITUTE($F$2, CHAR(10), " "),calc!B907)</f>
        <v>#VALUE!</v>
      </c>
      <c r="D907" t="e">
        <f>MID($F$2,calc!B907,calc!C907-calc!B907)</f>
        <v>#VALUE!</v>
      </c>
    </row>
    <row r="908" spans="2:4" ht="16.5" customHeight="1">
      <c r="B908" s="2" t="e">
        <f t="shared" si="15"/>
        <v>#VALUE!</v>
      </c>
      <c r="C908" t="e">
        <f>FIND(" ",SUBSTITUTE($F$2, CHAR(10), " "),calc!B908)</f>
        <v>#VALUE!</v>
      </c>
      <c r="D908" t="e">
        <f>MID($F$2,calc!B908,calc!C908-calc!B908)</f>
        <v>#VALUE!</v>
      </c>
    </row>
    <row r="909" spans="2:4" ht="16.5" customHeight="1">
      <c r="B909" s="2" t="e">
        <f t="shared" si="15"/>
        <v>#VALUE!</v>
      </c>
      <c r="C909" t="e">
        <f>FIND(" ",SUBSTITUTE($F$2, CHAR(10), " "),calc!B909)</f>
        <v>#VALUE!</v>
      </c>
      <c r="D909" t="e">
        <f>MID($F$2,calc!B909,calc!C909-calc!B909)</f>
        <v>#VALUE!</v>
      </c>
    </row>
    <row r="910" spans="2:4" ht="16.5" customHeight="1">
      <c r="B910" s="2" t="e">
        <f t="shared" si="15"/>
        <v>#VALUE!</v>
      </c>
      <c r="C910" t="e">
        <f>FIND(" ",SUBSTITUTE($F$2, CHAR(10), " "),calc!B910)</f>
        <v>#VALUE!</v>
      </c>
      <c r="D910" t="e">
        <f>MID($F$2,calc!B910,calc!C910-calc!B910)</f>
        <v>#VALUE!</v>
      </c>
    </row>
    <row r="911" spans="2:4" ht="16.5" customHeight="1">
      <c r="B911" s="2" t="e">
        <f t="shared" si="15"/>
        <v>#VALUE!</v>
      </c>
      <c r="C911" t="e">
        <f>FIND(" ",SUBSTITUTE($F$2, CHAR(10), " "),calc!B911)</f>
        <v>#VALUE!</v>
      </c>
      <c r="D911" t="e">
        <f>MID($F$2,calc!B911,calc!C911-calc!B911)</f>
        <v>#VALUE!</v>
      </c>
    </row>
    <row r="912" spans="2:4" ht="16.5" customHeight="1">
      <c r="B912" s="2" t="e">
        <f t="shared" si="15"/>
        <v>#VALUE!</v>
      </c>
      <c r="C912" t="e">
        <f>FIND(" ",SUBSTITUTE($F$2, CHAR(10), " "),calc!B912)</f>
        <v>#VALUE!</v>
      </c>
      <c r="D912" t="e">
        <f>MID($F$2,calc!B912,calc!C912-calc!B912)</f>
        <v>#VALUE!</v>
      </c>
    </row>
    <row r="913" spans="2:4" ht="16.5" customHeight="1">
      <c r="B913" s="2" t="e">
        <f t="shared" si="15"/>
        <v>#VALUE!</v>
      </c>
      <c r="C913" t="e">
        <f>FIND(" ",SUBSTITUTE($F$2, CHAR(10), " "),calc!B913)</f>
        <v>#VALUE!</v>
      </c>
      <c r="D913" t="e">
        <f>MID($F$2,calc!B913,calc!C913-calc!B913)</f>
        <v>#VALUE!</v>
      </c>
    </row>
    <row r="914" spans="2:4" ht="16.5" customHeight="1">
      <c r="B914" s="2" t="e">
        <f t="shared" si="15"/>
        <v>#VALUE!</v>
      </c>
      <c r="C914" t="e">
        <f>FIND(" ",SUBSTITUTE($F$2, CHAR(10), " "),calc!B914)</f>
        <v>#VALUE!</v>
      </c>
      <c r="D914" t="e">
        <f>MID($F$2,calc!B914,calc!C914-calc!B914)</f>
        <v>#VALUE!</v>
      </c>
    </row>
    <row r="915" spans="2:4" ht="16.5" customHeight="1">
      <c r="B915" s="2" t="e">
        <f t="shared" si="15"/>
        <v>#VALUE!</v>
      </c>
      <c r="C915" t="e">
        <f>FIND(" ",SUBSTITUTE($F$2, CHAR(10), " "),calc!B915)</f>
        <v>#VALUE!</v>
      </c>
      <c r="D915" t="e">
        <f>MID($F$2,calc!B915,calc!C915-calc!B915)</f>
        <v>#VALUE!</v>
      </c>
    </row>
    <row r="916" spans="2:4" ht="16.5" customHeight="1">
      <c r="B916" s="2" t="e">
        <f t="shared" si="15"/>
        <v>#VALUE!</v>
      </c>
      <c r="C916" t="e">
        <f>FIND(" ",SUBSTITUTE($F$2, CHAR(10), " "),calc!B916)</f>
        <v>#VALUE!</v>
      </c>
      <c r="D916" t="e">
        <f>MID($F$2,calc!B916,calc!C916-calc!B916)</f>
        <v>#VALUE!</v>
      </c>
    </row>
    <row r="917" spans="2:4" ht="16.5" customHeight="1">
      <c r="B917" s="2" t="e">
        <f t="shared" si="15"/>
        <v>#VALUE!</v>
      </c>
      <c r="C917" t="e">
        <f>FIND(" ",SUBSTITUTE($F$2, CHAR(10), " "),calc!B917)</f>
        <v>#VALUE!</v>
      </c>
      <c r="D917" t="e">
        <f>MID($F$2,calc!B917,calc!C917-calc!B917)</f>
        <v>#VALUE!</v>
      </c>
    </row>
    <row r="918" spans="2:4" ht="16.5" customHeight="1">
      <c r="B918" s="2" t="e">
        <f t="shared" si="15"/>
        <v>#VALUE!</v>
      </c>
      <c r="C918" t="e">
        <f>FIND(" ",SUBSTITUTE($F$2, CHAR(10), " "),calc!B918)</f>
        <v>#VALUE!</v>
      </c>
      <c r="D918" t="e">
        <f>MID($F$2,calc!B918,calc!C918-calc!B918)</f>
        <v>#VALUE!</v>
      </c>
    </row>
    <row r="919" spans="2:4" ht="16.5" customHeight="1">
      <c r="B919" s="2" t="e">
        <f t="shared" si="15"/>
        <v>#VALUE!</v>
      </c>
      <c r="C919" t="e">
        <f>FIND(" ",SUBSTITUTE($F$2, CHAR(10), " "),calc!B919)</f>
        <v>#VALUE!</v>
      </c>
      <c r="D919" t="e">
        <f>MID($F$2,calc!B919,calc!C919-calc!B919)</f>
        <v>#VALUE!</v>
      </c>
    </row>
    <row r="920" spans="2:4" ht="16.5" customHeight="1">
      <c r="B920" s="2" t="e">
        <f t="shared" si="15"/>
        <v>#VALUE!</v>
      </c>
      <c r="C920" t="e">
        <f>FIND(" ",SUBSTITUTE($F$2, CHAR(10), " "),calc!B920)</f>
        <v>#VALUE!</v>
      </c>
      <c r="D920" t="e">
        <f>MID($F$2,calc!B920,calc!C920-calc!B920)</f>
        <v>#VALUE!</v>
      </c>
    </row>
    <row r="921" spans="2:4" ht="16.5" customHeight="1">
      <c r="B921" s="2" t="e">
        <f t="shared" si="15"/>
        <v>#VALUE!</v>
      </c>
      <c r="C921" t="e">
        <f>FIND(" ",SUBSTITUTE($F$2, CHAR(10), " "),calc!B921)</f>
        <v>#VALUE!</v>
      </c>
      <c r="D921" t="e">
        <f>MID($F$2,calc!B921,calc!C921-calc!B921)</f>
        <v>#VALUE!</v>
      </c>
    </row>
    <row r="922" spans="2:4" ht="16.5" customHeight="1">
      <c r="B922" s="2" t="e">
        <f t="shared" si="15"/>
        <v>#VALUE!</v>
      </c>
      <c r="C922" t="e">
        <f>FIND(" ",SUBSTITUTE($F$2, CHAR(10), " "),calc!B922)</f>
        <v>#VALUE!</v>
      </c>
      <c r="D922" t="e">
        <f>MID($F$2,calc!B922,calc!C922-calc!B922)</f>
        <v>#VALUE!</v>
      </c>
    </row>
    <row r="923" spans="2:4" ht="16.5" customHeight="1">
      <c r="B923" s="2" t="e">
        <f t="shared" si="15"/>
        <v>#VALUE!</v>
      </c>
      <c r="C923" t="e">
        <f>FIND(" ",SUBSTITUTE($F$2, CHAR(10), " "),calc!B923)</f>
        <v>#VALUE!</v>
      </c>
      <c r="D923" t="e">
        <f>MID($F$2,calc!B923,calc!C923-calc!B923)</f>
        <v>#VALUE!</v>
      </c>
    </row>
    <row r="924" spans="2:4" ht="16.5" customHeight="1">
      <c r="B924" s="2" t="e">
        <f t="shared" si="15"/>
        <v>#VALUE!</v>
      </c>
      <c r="C924" t="e">
        <f>FIND(" ",SUBSTITUTE($F$2, CHAR(10), " "),calc!B924)</f>
        <v>#VALUE!</v>
      </c>
      <c r="D924" t="e">
        <f>MID($F$2,calc!B924,calc!C924-calc!B924)</f>
        <v>#VALUE!</v>
      </c>
    </row>
    <row r="925" spans="2:4" ht="16.5" customHeight="1">
      <c r="B925" s="2" t="e">
        <f t="shared" si="15"/>
        <v>#VALUE!</v>
      </c>
      <c r="C925" t="e">
        <f>FIND(" ",SUBSTITUTE($F$2, CHAR(10), " "),calc!B925)</f>
        <v>#VALUE!</v>
      </c>
      <c r="D925" t="e">
        <f>MID($F$2,calc!B925,calc!C925-calc!B925)</f>
        <v>#VALUE!</v>
      </c>
    </row>
    <row r="926" spans="2:4" ht="16.5" customHeight="1">
      <c r="B926" s="2" t="e">
        <f t="shared" si="15"/>
        <v>#VALUE!</v>
      </c>
      <c r="C926" t="e">
        <f>FIND(" ",SUBSTITUTE($F$2, CHAR(10), " "),calc!B926)</f>
        <v>#VALUE!</v>
      </c>
      <c r="D926" t="e">
        <f>MID($F$2,calc!B926,calc!C926-calc!B926)</f>
        <v>#VALUE!</v>
      </c>
    </row>
    <row r="927" spans="2:4" ht="16.5" customHeight="1">
      <c r="B927" s="2" t="e">
        <f t="shared" si="15"/>
        <v>#VALUE!</v>
      </c>
      <c r="C927" t="e">
        <f>FIND(" ",SUBSTITUTE($F$2, CHAR(10), " "),calc!B927)</f>
        <v>#VALUE!</v>
      </c>
      <c r="D927" t="e">
        <f>MID($F$2,calc!B927,calc!C927-calc!B927)</f>
        <v>#VALUE!</v>
      </c>
    </row>
    <row r="928" spans="2:4" ht="16.5" customHeight="1">
      <c r="B928" s="2" t="e">
        <f t="shared" si="15"/>
        <v>#VALUE!</v>
      </c>
      <c r="C928" t="e">
        <f>FIND(" ",SUBSTITUTE($F$2, CHAR(10), " "),calc!B928)</f>
        <v>#VALUE!</v>
      </c>
      <c r="D928" t="e">
        <f>MID($F$2,calc!B928,calc!C928-calc!B928)</f>
        <v>#VALUE!</v>
      </c>
    </row>
    <row r="929" spans="2:4" ht="16.5" customHeight="1">
      <c r="B929" s="2" t="e">
        <f t="shared" si="15"/>
        <v>#VALUE!</v>
      </c>
      <c r="C929" t="e">
        <f>FIND(" ",SUBSTITUTE($F$2, CHAR(10), " "),calc!B929)</f>
        <v>#VALUE!</v>
      </c>
      <c r="D929" t="e">
        <f>MID($F$2,calc!B929,calc!C929-calc!B929)</f>
        <v>#VALUE!</v>
      </c>
    </row>
    <row r="930" spans="2:4" ht="16.5" customHeight="1">
      <c r="B930" s="2" t="e">
        <f t="shared" si="15"/>
        <v>#VALUE!</v>
      </c>
      <c r="C930" t="e">
        <f>FIND(" ",SUBSTITUTE($F$2, CHAR(10), " "),calc!B930)</f>
        <v>#VALUE!</v>
      </c>
      <c r="D930" t="e">
        <f>MID($F$2,calc!B930,calc!C930-calc!B930)</f>
        <v>#VALUE!</v>
      </c>
    </row>
    <row r="931" spans="2:4" ht="16.5" customHeight="1">
      <c r="B931" s="2" t="e">
        <f t="shared" si="15"/>
        <v>#VALUE!</v>
      </c>
      <c r="C931" t="e">
        <f>FIND(" ",SUBSTITUTE($F$2, CHAR(10), " "),calc!B931)</f>
        <v>#VALUE!</v>
      </c>
      <c r="D931" t="e">
        <f>MID($F$2,calc!B931,calc!C931-calc!B931)</f>
        <v>#VALUE!</v>
      </c>
    </row>
    <row r="932" spans="2:4" ht="16.5" customHeight="1">
      <c r="B932" s="2" t="e">
        <f t="shared" si="15"/>
        <v>#VALUE!</v>
      </c>
      <c r="C932" t="e">
        <f>FIND(" ",SUBSTITUTE($F$2, CHAR(10), " "),calc!B932)</f>
        <v>#VALUE!</v>
      </c>
      <c r="D932" t="e">
        <f>MID($F$2,calc!B932,calc!C932-calc!B932)</f>
        <v>#VALUE!</v>
      </c>
    </row>
    <row r="933" spans="2:4" ht="16.5" customHeight="1">
      <c r="B933" s="2" t="e">
        <f t="shared" si="15"/>
        <v>#VALUE!</v>
      </c>
      <c r="C933" t="e">
        <f>FIND(" ",SUBSTITUTE($F$2, CHAR(10), " "),calc!B933)</f>
        <v>#VALUE!</v>
      </c>
      <c r="D933" t="e">
        <f>MID($F$2,calc!B933,calc!C933-calc!B933)</f>
        <v>#VALUE!</v>
      </c>
    </row>
    <row r="934" spans="2:4" ht="16.5" customHeight="1">
      <c r="B934" s="2" t="e">
        <f t="shared" si="15"/>
        <v>#VALUE!</v>
      </c>
      <c r="C934" t="e">
        <f>FIND(" ",SUBSTITUTE($F$2, CHAR(10), " "),calc!B934)</f>
        <v>#VALUE!</v>
      </c>
      <c r="D934" t="e">
        <f>MID($F$2,calc!B934,calc!C934-calc!B934)</f>
        <v>#VALUE!</v>
      </c>
    </row>
    <row r="935" spans="2:4" ht="16.5" customHeight="1">
      <c r="B935" s="2" t="e">
        <f t="shared" si="15"/>
        <v>#VALUE!</v>
      </c>
      <c r="C935" t="e">
        <f>FIND(" ",SUBSTITUTE($F$2, CHAR(10), " "),calc!B935)</f>
        <v>#VALUE!</v>
      </c>
      <c r="D935" t="e">
        <f>MID($F$2,calc!B935,calc!C935-calc!B935)</f>
        <v>#VALUE!</v>
      </c>
    </row>
    <row r="936" spans="2:4" ht="16.5" customHeight="1">
      <c r="B936" s="2" t="e">
        <f t="shared" si="15"/>
        <v>#VALUE!</v>
      </c>
      <c r="C936" t="e">
        <f>FIND(" ",SUBSTITUTE($F$2, CHAR(10), " "),calc!B936)</f>
        <v>#VALUE!</v>
      </c>
      <c r="D936" t="e">
        <f>MID($F$2,calc!B936,calc!C936-calc!B936)</f>
        <v>#VALUE!</v>
      </c>
    </row>
    <row r="937" spans="2:4" ht="16.5" customHeight="1">
      <c r="B937" s="2" t="e">
        <f t="shared" si="15"/>
        <v>#VALUE!</v>
      </c>
      <c r="C937" t="e">
        <f>FIND(" ",SUBSTITUTE($F$2, CHAR(10), " "),calc!B937)</f>
        <v>#VALUE!</v>
      </c>
      <c r="D937" t="e">
        <f>MID($F$2,calc!B937,calc!C937-calc!B937)</f>
        <v>#VALUE!</v>
      </c>
    </row>
    <row r="938" spans="2:4" ht="16.5" customHeight="1">
      <c r="B938" s="2" t="e">
        <f t="shared" si="15"/>
        <v>#VALUE!</v>
      </c>
      <c r="C938" t="e">
        <f>FIND(" ",SUBSTITUTE($F$2, CHAR(10), " "),calc!B938)</f>
        <v>#VALUE!</v>
      </c>
      <c r="D938" t="e">
        <f>MID($F$2,calc!B938,calc!C938-calc!B938)</f>
        <v>#VALUE!</v>
      </c>
    </row>
    <row r="939" spans="2:4" ht="16.5" customHeight="1">
      <c r="B939" s="2" t="e">
        <f t="shared" si="15"/>
        <v>#VALUE!</v>
      </c>
      <c r="C939" t="e">
        <f>FIND(" ",SUBSTITUTE($F$2, CHAR(10), " "),calc!B939)</f>
        <v>#VALUE!</v>
      </c>
      <c r="D939" t="e">
        <f>MID($F$2,calc!B939,calc!C939-calc!B939)</f>
        <v>#VALUE!</v>
      </c>
    </row>
    <row r="940" spans="2:4" ht="16.5" customHeight="1">
      <c r="B940" s="2" t="e">
        <f t="shared" si="15"/>
        <v>#VALUE!</v>
      </c>
      <c r="C940" t="e">
        <f>FIND(" ",SUBSTITUTE($F$2, CHAR(10), " "),calc!B940)</f>
        <v>#VALUE!</v>
      </c>
      <c r="D940" t="e">
        <f>MID($F$2,calc!B940,calc!C940-calc!B940)</f>
        <v>#VALUE!</v>
      </c>
    </row>
    <row r="941" spans="2:4" ht="16.5" customHeight="1">
      <c r="B941" s="2" t="e">
        <f t="shared" si="15"/>
        <v>#VALUE!</v>
      </c>
      <c r="C941" t="e">
        <f>FIND(" ",SUBSTITUTE($F$2, CHAR(10), " "),calc!B941)</f>
        <v>#VALUE!</v>
      </c>
      <c r="D941" t="e">
        <f>MID($F$2,calc!B941,calc!C941-calc!B941)</f>
        <v>#VALUE!</v>
      </c>
    </row>
    <row r="942" spans="2:4" ht="16.5" customHeight="1">
      <c r="B942" s="2" t="e">
        <f t="shared" si="15"/>
        <v>#VALUE!</v>
      </c>
      <c r="C942" t="e">
        <f>FIND(" ",SUBSTITUTE($F$2, CHAR(10), " "),calc!B942)</f>
        <v>#VALUE!</v>
      </c>
      <c r="D942" t="e">
        <f>MID($F$2,calc!B942,calc!C942-calc!B942)</f>
        <v>#VALUE!</v>
      </c>
    </row>
    <row r="943" spans="2:4" ht="16.5" customHeight="1">
      <c r="B943" s="2" t="e">
        <f t="shared" si="15"/>
        <v>#VALUE!</v>
      </c>
      <c r="C943" t="e">
        <f>FIND(" ",SUBSTITUTE($F$2, CHAR(10), " "),calc!B943)</f>
        <v>#VALUE!</v>
      </c>
      <c r="D943" t="e">
        <f>MID($F$2,calc!B943,calc!C943-calc!B943)</f>
        <v>#VALUE!</v>
      </c>
    </row>
    <row r="944" spans="2:4" ht="16.5" customHeight="1">
      <c r="B944" s="2" t="e">
        <f t="shared" si="15"/>
        <v>#VALUE!</v>
      </c>
      <c r="C944" t="e">
        <f>FIND(" ",SUBSTITUTE($F$2, CHAR(10), " "),calc!B944)</f>
        <v>#VALUE!</v>
      </c>
      <c r="D944" t="e">
        <f>MID($F$2,calc!B944,calc!C944-calc!B944)</f>
        <v>#VALUE!</v>
      </c>
    </row>
    <row r="945" spans="2:4" ht="16.5" customHeight="1">
      <c r="B945" s="2" t="e">
        <f t="shared" si="15"/>
        <v>#VALUE!</v>
      </c>
      <c r="C945" t="e">
        <f>FIND(" ",SUBSTITUTE($F$2, CHAR(10), " "),calc!B945)</f>
        <v>#VALUE!</v>
      </c>
      <c r="D945" t="e">
        <f>MID($F$2,calc!B945,calc!C945-calc!B945)</f>
        <v>#VALUE!</v>
      </c>
    </row>
    <row r="946" spans="2:4" ht="16.5" customHeight="1">
      <c r="B946" s="2" t="e">
        <f t="shared" si="15"/>
        <v>#VALUE!</v>
      </c>
      <c r="C946" t="e">
        <f>FIND(" ",SUBSTITUTE($F$2, CHAR(10), " "),calc!B946)</f>
        <v>#VALUE!</v>
      </c>
      <c r="D946" t="e">
        <f>MID($F$2,calc!B946,calc!C946-calc!B946)</f>
        <v>#VALUE!</v>
      </c>
    </row>
    <row r="947" spans="2:4" ht="16.5" customHeight="1">
      <c r="B947" s="2" t="e">
        <f t="shared" si="15"/>
        <v>#VALUE!</v>
      </c>
      <c r="C947" t="e">
        <f>FIND(" ",SUBSTITUTE($F$2, CHAR(10), " "),calc!B947)</f>
        <v>#VALUE!</v>
      </c>
      <c r="D947" t="e">
        <f>MID($F$2,calc!B947,calc!C947-calc!B947)</f>
        <v>#VALUE!</v>
      </c>
    </row>
    <row r="948" spans="2:4" ht="16.5" customHeight="1">
      <c r="B948" s="2" t="e">
        <f t="shared" si="15"/>
        <v>#VALUE!</v>
      </c>
      <c r="C948" t="e">
        <f>FIND(" ",SUBSTITUTE($F$2, CHAR(10), " "),calc!B948)</f>
        <v>#VALUE!</v>
      </c>
      <c r="D948" t="e">
        <f>MID($F$2,calc!B948,calc!C948-calc!B948)</f>
        <v>#VALUE!</v>
      </c>
    </row>
    <row r="949" spans="2:4" ht="16.5" customHeight="1">
      <c r="B949" s="2" t="e">
        <f t="shared" si="15"/>
        <v>#VALUE!</v>
      </c>
      <c r="C949" t="e">
        <f>FIND(" ",SUBSTITUTE($F$2, CHAR(10), " "),calc!B949)</f>
        <v>#VALUE!</v>
      </c>
      <c r="D949" t="e">
        <f>MID($F$2,calc!B949,calc!C949-calc!B949)</f>
        <v>#VALUE!</v>
      </c>
    </row>
    <row r="950" spans="2:4" ht="16.5" customHeight="1">
      <c r="B950" s="2" t="e">
        <f t="shared" si="15"/>
        <v>#VALUE!</v>
      </c>
      <c r="C950" t="e">
        <f>FIND(" ",SUBSTITUTE($F$2, CHAR(10), " "),calc!B950)</f>
        <v>#VALUE!</v>
      </c>
      <c r="D950" t="e">
        <f>MID($F$2,calc!B950,calc!C950-calc!B950)</f>
        <v>#VALUE!</v>
      </c>
    </row>
    <row r="951" spans="2:4" ht="16.5" customHeight="1">
      <c r="B951" s="2" t="e">
        <f t="shared" si="15"/>
        <v>#VALUE!</v>
      </c>
      <c r="C951" t="e">
        <f>FIND(" ",SUBSTITUTE($F$2, CHAR(10), " "),calc!B951)</f>
        <v>#VALUE!</v>
      </c>
      <c r="D951" t="e">
        <f>MID($F$2,calc!B951,calc!C951-calc!B951)</f>
        <v>#VALUE!</v>
      </c>
    </row>
    <row r="952" spans="2:4" ht="16.5" customHeight="1">
      <c r="B952" s="2" t="e">
        <f t="shared" si="15"/>
        <v>#VALUE!</v>
      </c>
      <c r="C952" t="e">
        <f>FIND(" ",SUBSTITUTE($F$2, CHAR(10), " "),calc!B952)</f>
        <v>#VALUE!</v>
      </c>
      <c r="D952" t="e">
        <f>MID($F$2,calc!B952,calc!C952-calc!B952)</f>
        <v>#VALUE!</v>
      </c>
    </row>
    <row r="953" spans="2:4" ht="16.5" customHeight="1">
      <c r="B953" s="2" t="e">
        <f t="shared" si="15"/>
        <v>#VALUE!</v>
      </c>
      <c r="C953" t="e">
        <f>FIND(" ",SUBSTITUTE($F$2, CHAR(10), " "),calc!B953)</f>
        <v>#VALUE!</v>
      </c>
      <c r="D953" t="e">
        <f>MID($F$2,calc!B953,calc!C953-calc!B953)</f>
        <v>#VALUE!</v>
      </c>
    </row>
    <row r="954" spans="2:4" ht="16.5" customHeight="1">
      <c r="B954" s="2" t="e">
        <f t="shared" si="15"/>
        <v>#VALUE!</v>
      </c>
      <c r="C954" t="e">
        <f>FIND(" ",SUBSTITUTE($F$2, CHAR(10), " "),calc!B954)</f>
        <v>#VALUE!</v>
      </c>
      <c r="D954" t="e">
        <f>MID($F$2,calc!B954,calc!C954-calc!B954)</f>
        <v>#VALUE!</v>
      </c>
    </row>
    <row r="955" spans="2:4" ht="16.5" customHeight="1">
      <c r="B955" s="2" t="e">
        <f t="shared" si="15"/>
        <v>#VALUE!</v>
      </c>
      <c r="C955" t="e">
        <f>FIND(" ",SUBSTITUTE($F$2, CHAR(10), " "),calc!B955)</f>
        <v>#VALUE!</v>
      </c>
      <c r="D955" t="e">
        <f>MID($F$2,calc!B955,calc!C955-calc!B955)</f>
        <v>#VALUE!</v>
      </c>
    </row>
    <row r="956" spans="2:4" ht="16.5" customHeight="1">
      <c r="B956" s="2" t="e">
        <f t="shared" si="15"/>
        <v>#VALUE!</v>
      </c>
      <c r="C956" t="e">
        <f>FIND(" ",SUBSTITUTE($F$2, CHAR(10), " "),calc!B956)</f>
        <v>#VALUE!</v>
      </c>
      <c r="D956" t="e">
        <f>MID($F$2,calc!B956,calc!C956-calc!B956)</f>
        <v>#VALUE!</v>
      </c>
    </row>
    <row r="957" spans="2:4" ht="16.5" customHeight="1">
      <c r="B957" s="2" t="e">
        <f t="shared" si="15"/>
        <v>#VALUE!</v>
      </c>
      <c r="C957" t="e">
        <f>FIND(" ",SUBSTITUTE($F$2, CHAR(10), " "),calc!B957)</f>
        <v>#VALUE!</v>
      </c>
      <c r="D957" t="e">
        <f>MID($F$2,calc!B957,calc!C957-calc!B957)</f>
        <v>#VALUE!</v>
      </c>
    </row>
    <row r="958" spans="2:4" ht="16.5" customHeight="1">
      <c r="B958" s="2" t="e">
        <f t="shared" si="15"/>
        <v>#VALUE!</v>
      </c>
      <c r="C958" t="e">
        <f>FIND(" ",SUBSTITUTE($F$2, CHAR(10), " "),calc!B958)</f>
        <v>#VALUE!</v>
      </c>
      <c r="D958" t="e">
        <f>MID($F$2,calc!B958,calc!C958-calc!B958)</f>
        <v>#VALUE!</v>
      </c>
    </row>
    <row r="959" spans="2:4" ht="16.5" customHeight="1">
      <c r="B959" s="2" t="e">
        <f t="shared" si="15"/>
        <v>#VALUE!</v>
      </c>
      <c r="C959" t="e">
        <f>FIND(" ",SUBSTITUTE($F$2, CHAR(10), " "),calc!B959)</f>
        <v>#VALUE!</v>
      </c>
      <c r="D959" t="e">
        <f>MID($F$2,calc!B959,calc!C959-calc!B959)</f>
        <v>#VALUE!</v>
      </c>
    </row>
    <row r="960" spans="2:4" ht="16.5" customHeight="1">
      <c r="B960" s="2" t="e">
        <f t="shared" si="15"/>
        <v>#VALUE!</v>
      </c>
      <c r="C960" t="e">
        <f>FIND(" ",SUBSTITUTE($F$2, CHAR(10), " "),calc!B960)</f>
        <v>#VALUE!</v>
      </c>
      <c r="D960" t="e">
        <f>MID($F$2,calc!B960,calc!C960-calc!B960)</f>
        <v>#VALUE!</v>
      </c>
    </row>
    <row r="961" spans="2:4" ht="16.5" customHeight="1">
      <c r="B961" s="2" t="e">
        <f t="shared" si="15"/>
        <v>#VALUE!</v>
      </c>
      <c r="C961" t="e">
        <f>FIND(" ",SUBSTITUTE($F$2, CHAR(10), " "),calc!B961)</f>
        <v>#VALUE!</v>
      </c>
      <c r="D961" t="e">
        <f>MID($F$2,calc!B961,calc!C961-calc!B961)</f>
        <v>#VALUE!</v>
      </c>
    </row>
    <row r="962" spans="2:4" ht="16.5" customHeight="1">
      <c r="B962" s="2" t="e">
        <f t="shared" si="15"/>
        <v>#VALUE!</v>
      </c>
      <c r="C962" t="e">
        <f>FIND(" ",SUBSTITUTE($F$2, CHAR(10), " "),calc!B962)</f>
        <v>#VALUE!</v>
      </c>
      <c r="D962" t="e">
        <f>MID($F$2,calc!B962,calc!C962-calc!B962)</f>
        <v>#VALUE!</v>
      </c>
    </row>
    <row r="963" spans="2:4" ht="16.5" customHeight="1">
      <c r="B963" s="2" t="e">
        <f t="shared" ref="B963:B1000" si="16">FIND("#", $F$2, B962 +1)</f>
        <v>#VALUE!</v>
      </c>
      <c r="C963" t="e">
        <f>FIND(" ",SUBSTITUTE($F$2, CHAR(10), " "),calc!B963)</f>
        <v>#VALUE!</v>
      </c>
      <c r="D963" t="e">
        <f>MID($F$2,calc!B963,calc!C963-calc!B963)</f>
        <v>#VALUE!</v>
      </c>
    </row>
    <row r="964" spans="2:4" ht="16.5" customHeight="1">
      <c r="B964" s="2" t="e">
        <f t="shared" si="16"/>
        <v>#VALUE!</v>
      </c>
      <c r="C964" t="e">
        <f>FIND(" ",SUBSTITUTE($F$2, CHAR(10), " "),calc!B964)</f>
        <v>#VALUE!</v>
      </c>
      <c r="D964" t="e">
        <f>MID($F$2,calc!B964,calc!C964-calc!B964)</f>
        <v>#VALUE!</v>
      </c>
    </row>
    <row r="965" spans="2:4" ht="16.5" customHeight="1">
      <c r="B965" s="2" t="e">
        <f t="shared" si="16"/>
        <v>#VALUE!</v>
      </c>
      <c r="C965" t="e">
        <f>FIND(" ",SUBSTITUTE($F$2, CHAR(10), " "),calc!B965)</f>
        <v>#VALUE!</v>
      </c>
      <c r="D965" t="e">
        <f>MID($F$2,calc!B965,calc!C965-calc!B965)</f>
        <v>#VALUE!</v>
      </c>
    </row>
    <row r="966" spans="2:4" ht="16.5" customHeight="1">
      <c r="B966" s="2" t="e">
        <f t="shared" si="16"/>
        <v>#VALUE!</v>
      </c>
      <c r="C966" t="e">
        <f>FIND(" ",SUBSTITUTE($F$2, CHAR(10), " "),calc!B966)</f>
        <v>#VALUE!</v>
      </c>
      <c r="D966" t="e">
        <f>MID($F$2,calc!B966,calc!C966-calc!B966)</f>
        <v>#VALUE!</v>
      </c>
    </row>
    <row r="967" spans="2:4" ht="16.5" customHeight="1">
      <c r="B967" s="2" t="e">
        <f t="shared" si="16"/>
        <v>#VALUE!</v>
      </c>
      <c r="C967" t="e">
        <f>FIND(" ",SUBSTITUTE($F$2, CHAR(10), " "),calc!B967)</f>
        <v>#VALUE!</v>
      </c>
      <c r="D967" t="e">
        <f>MID($F$2,calc!B967,calc!C967-calc!B967)</f>
        <v>#VALUE!</v>
      </c>
    </row>
    <row r="968" spans="2:4" ht="16.5" customHeight="1">
      <c r="B968" s="2" t="e">
        <f t="shared" si="16"/>
        <v>#VALUE!</v>
      </c>
      <c r="C968" t="e">
        <f>FIND(" ",SUBSTITUTE($F$2, CHAR(10), " "),calc!B968)</f>
        <v>#VALUE!</v>
      </c>
      <c r="D968" t="e">
        <f>MID($F$2,calc!B968,calc!C968-calc!B968)</f>
        <v>#VALUE!</v>
      </c>
    </row>
    <row r="969" spans="2:4" ht="16.5" customHeight="1">
      <c r="B969" s="2" t="e">
        <f t="shared" si="16"/>
        <v>#VALUE!</v>
      </c>
      <c r="C969" t="e">
        <f>FIND(" ",SUBSTITUTE($F$2, CHAR(10), " "),calc!B969)</f>
        <v>#VALUE!</v>
      </c>
      <c r="D969" t="e">
        <f>MID($F$2,calc!B969,calc!C969-calc!B969)</f>
        <v>#VALUE!</v>
      </c>
    </row>
    <row r="970" spans="2:4" ht="16.5" customHeight="1">
      <c r="B970" s="2" t="e">
        <f t="shared" si="16"/>
        <v>#VALUE!</v>
      </c>
      <c r="C970" t="e">
        <f>FIND(" ",SUBSTITUTE($F$2, CHAR(10), " "),calc!B970)</f>
        <v>#VALUE!</v>
      </c>
      <c r="D970" t="e">
        <f>MID($F$2,calc!B970,calc!C970-calc!B970)</f>
        <v>#VALUE!</v>
      </c>
    </row>
    <row r="971" spans="2:4" ht="16.5" customHeight="1">
      <c r="B971" s="2" t="e">
        <f t="shared" si="16"/>
        <v>#VALUE!</v>
      </c>
      <c r="C971" t="e">
        <f>FIND(" ",SUBSTITUTE($F$2, CHAR(10), " "),calc!B971)</f>
        <v>#VALUE!</v>
      </c>
      <c r="D971" t="e">
        <f>MID($F$2,calc!B971,calc!C971-calc!B971)</f>
        <v>#VALUE!</v>
      </c>
    </row>
    <row r="972" spans="2:4" ht="16.5" customHeight="1">
      <c r="B972" s="2" t="e">
        <f t="shared" si="16"/>
        <v>#VALUE!</v>
      </c>
      <c r="C972" t="e">
        <f>FIND(" ",SUBSTITUTE($F$2, CHAR(10), " "),calc!B972)</f>
        <v>#VALUE!</v>
      </c>
      <c r="D972" t="e">
        <f>MID($F$2,calc!B972,calc!C972-calc!B972)</f>
        <v>#VALUE!</v>
      </c>
    </row>
    <row r="973" spans="2:4" ht="16.5" customHeight="1">
      <c r="B973" s="2" t="e">
        <f t="shared" si="16"/>
        <v>#VALUE!</v>
      </c>
      <c r="C973" t="e">
        <f>FIND(" ",SUBSTITUTE($F$2, CHAR(10), " "),calc!B973)</f>
        <v>#VALUE!</v>
      </c>
      <c r="D973" t="e">
        <f>MID($F$2,calc!B973,calc!C973-calc!B973)</f>
        <v>#VALUE!</v>
      </c>
    </row>
    <row r="974" spans="2:4" ht="16.5" customHeight="1">
      <c r="B974" s="2" t="e">
        <f t="shared" si="16"/>
        <v>#VALUE!</v>
      </c>
      <c r="C974" t="e">
        <f>FIND(" ",SUBSTITUTE($F$2, CHAR(10), " "),calc!B974)</f>
        <v>#VALUE!</v>
      </c>
      <c r="D974" t="e">
        <f>MID($F$2,calc!B974,calc!C974-calc!B974)</f>
        <v>#VALUE!</v>
      </c>
    </row>
    <row r="975" spans="2:4" ht="16.5" customHeight="1">
      <c r="B975" s="2" t="e">
        <f t="shared" si="16"/>
        <v>#VALUE!</v>
      </c>
      <c r="C975" t="e">
        <f>FIND(" ",SUBSTITUTE($F$2, CHAR(10), " "),calc!B975)</f>
        <v>#VALUE!</v>
      </c>
      <c r="D975" t="e">
        <f>MID($F$2,calc!B975,calc!C975-calc!B975)</f>
        <v>#VALUE!</v>
      </c>
    </row>
    <row r="976" spans="2:4" ht="16.5" customHeight="1">
      <c r="B976" s="2" t="e">
        <f t="shared" si="16"/>
        <v>#VALUE!</v>
      </c>
      <c r="C976" t="e">
        <f>FIND(" ",SUBSTITUTE($F$2, CHAR(10), " "),calc!B976)</f>
        <v>#VALUE!</v>
      </c>
      <c r="D976" t="e">
        <f>MID($F$2,calc!B976,calc!C976-calc!B976)</f>
        <v>#VALUE!</v>
      </c>
    </row>
    <row r="977" spans="2:4" ht="16.5" customHeight="1">
      <c r="B977" s="2" t="e">
        <f t="shared" si="16"/>
        <v>#VALUE!</v>
      </c>
      <c r="C977" t="e">
        <f>FIND(" ",SUBSTITUTE($F$2, CHAR(10), " "),calc!B977)</f>
        <v>#VALUE!</v>
      </c>
      <c r="D977" t="e">
        <f>MID($F$2,calc!B977,calc!C977-calc!B977)</f>
        <v>#VALUE!</v>
      </c>
    </row>
    <row r="978" spans="2:4" ht="16.5" customHeight="1">
      <c r="B978" s="2" t="e">
        <f t="shared" si="16"/>
        <v>#VALUE!</v>
      </c>
      <c r="C978" t="e">
        <f>FIND(" ",SUBSTITUTE($F$2, CHAR(10), " "),calc!B978)</f>
        <v>#VALUE!</v>
      </c>
      <c r="D978" t="e">
        <f>MID($F$2,calc!B978,calc!C978-calc!B978)</f>
        <v>#VALUE!</v>
      </c>
    </row>
    <row r="979" spans="2:4" ht="16.5" customHeight="1">
      <c r="B979" s="2" t="e">
        <f t="shared" si="16"/>
        <v>#VALUE!</v>
      </c>
      <c r="C979" t="e">
        <f>FIND(" ",SUBSTITUTE($F$2, CHAR(10), " "),calc!B979)</f>
        <v>#VALUE!</v>
      </c>
      <c r="D979" t="e">
        <f>MID($F$2,calc!B979,calc!C979-calc!B979)</f>
        <v>#VALUE!</v>
      </c>
    </row>
    <row r="980" spans="2:4" ht="16.5" customHeight="1">
      <c r="B980" s="2" t="e">
        <f t="shared" si="16"/>
        <v>#VALUE!</v>
      </c>
      <c r="C980" t="e">
        <f>FIND(" ",SUBSTITUTE($F$2, CHAR(10), " "),calc!B980)</f>
        <v>#VALUE!</v>
      </c>
      <c r="D980" t="e">
        <f>MID($F$2,calc!B980,calc!C980-calc!B980)</f>
        <v>#VALUE!</v>
      </c>
    </row>
    <row r="981" spans="2:4" ht="16.5" customHeight="1">
      <c r="B981" s="2" t="e">
        <f t="shared" si="16"/>
        <v>#VALUE!</v>
      </c>
      <c r="C981" t="e">
        <f>FIND(" ",SUBSTITUTE($F$2, CHAR(10), " "),calc!B981)</f>
        <v>#VALUE!</v>
      </c>
      <c r="D981" t="e">
        <f>MID($F$2,calc!B981,calc!C981-calc!B981)</f>
        <v>#VALUE!</v>
      </c>
    </row>
    <row r="982" spans="2:4" ht="16.5" customHeight="1">
      <c r="B982" s="2" t="e">
        <f t="shared" si="16"/>
        <v>#VALUE!</v>
      </c>
      <c r="C982" t="e">
        <f>FIND(" ",SUBSTITUTE($F$2, CHAR(10), " "),calc!B982)</f>
        <v>#VALUE!</v>
      </c>
      <c r="D982" t="e">
        <f>MID($F$2,calc!B982,calc!C982-calc!B982)</f>
        <v>#VALUE!</v>
      </c>
    </row>
    <row r="983" spans="2:4" ht="16.5" customHeight="1">
      <c r="B983" s="2" t="e">
        <f t="shared" si="16"/>
        <v>#VALUE!</v>
      </c>
      <c r="C983" t="e">
        <f>FIND(" ",SUBSTITUTE($F$2, CHAR(10), " "),calc!B983)</f>
        <v>#VALUE!</v>
      </c>
      <c r="D983" t="e">
        <f>MID($F$2,calc!B983,calc!C983-calc!B983)</f>
        <v>#VALUE!</v>
      </c>
    </row>
    <row r="984" spans="2:4" ht="16.5" customHeight="1">
      <c r="B984" s="2" t="e">
        <f t="shared" si="16"/>
        <v>#VALUE!</v>
      </c>
      <c r="C984" t="e">
        <f>FIND(" ",SUBSTITUTE($F$2, CHAR(10), " "),calc!B984)</f>
        <v>#VALUE!</v>
      </c>
      <c r="D984" t="e">
        <f>MID($F$2,calc!B984,calc!C984-calc!B984)</f>
        <v>#VALUE!</v>
      </c>
    </row>
    <row r="985" spans="2:4" ht="16.5" customHeight="1">
      <c r="B985" s="2" t="e">
        <f t="shared" si="16"/>
        <v>#VALUE!</v>
      </c>
      <c r="C985" t="e">
        <f>FIND(" ",SUBSTITUTE($F$2, CHAR(10), " "),calc!B985)</f>
        <v>#VALUE!</v>
      </c>
      <c r="D985" t="e">
        <f>MID($F$2,calc!B985,calc!C985-calc!B985)</f>
        <v>#VALUE!</v>
      </c>
    </row>
    <row r="986" spans="2:4" ht="16.5" customHeight="1">
      <c r="B986" s="2" t="e">
        <f t="shared" si="16"/>
        <v>#VALUE!</v>
      </c>
      <c r="C986" t="e">
        <f>FIND(" ",SUBSTITUTE($F$2, CHAR(10), " "),calc!B986)</f>
        <v>#VALUE!</v>
      </c>
      <c r="D986" t="e">
        <f>MID($F$2,calc!B986,calc!C986-calc!B986)</f>
        <v>#VALUE!</v>
      </c>
    </row>
    <row r="987" spans="2:4" ht="16.5" customHeight="1">
      <c r="B987" s="2" t="e">
        <f t="shared" si="16"/>
        <v>#VALUE!</v>
      </c>
      <c r="C987" t="e">
        <f>FIND(" ",SUBSTITUTE($F$2, CHAR(10), " "),calc!B987)</f>
        <v>#VALUE!</v>
      </c>
      <c r="D987" t="e">
        <f>MID($F$2,calc!B987,calc!C987-calc!B987)</f>
        <v>#VALUE!</v>
      </c>
    </row>
    <row r="988" spans="2:4" ht="16.5" customHeight="1">
      <c r="B988" s="2" t="e">
        <f t="shared" si="16"/>
        <v>#VALUE!</v>
      </c>
      <c r="C988" t="e">
        <f>FIND(" ",SUBSTITUTE($F$2, CHAR(10), " "),calc!B988)</f>
        <v>#VALUE!</v>
      </c>
      <c r="D988" t="e">
        <f>MID($F$2,calc!B988,calc!C988-calc!B988)</f>
        <v>#VALUE!</v>
      </c>
    </row>
    <row r="989" spans="2:4" ht="16.5" customHeight="1">
      <c r="B989" s="2" t="e">
        <f t="shared" si="16"/>
        <v>#VALUE!</v>
      </c>
      <c r="C989" t="e">
        <f>FIND(" ",SUBSTITUTE($F$2, CHAR(10), " "),calc!B989)</f>
        <v>#VALUE!</v>
      </c>
      <c r="D989" t="e">
        <f>MID($F$2,calc!B989,calc!C989-calc!B989)</f>
        <v>#VALUE!</v>
      </c>
    </row>
    <row r="990" spans="2:4" ht="16.5" customHeight="1">
      <c r="B990" s="2" t="e">
        <f t="shared" si="16"/>
        <v>#VALUE!</v>
      </c>
      <c r="C990" t="e">
        <f>FIND(" ",SUBSTITUTE($F$2, CHAR(10), " "),calc!B990)</f>
        <v>#VALUE!</v>
      </c>
      <c r="D990" t="e">
        <f>MID($F$2,calc!B990,calc!C990-calc!B990)</f>
        <v>#VALUE!</v>
      </c>
    </row>
    <row r="991" spans="2:4" ht="16.5" customHeight="1">
      <c r="B991" s="2" t="e">
        <f t="shared" si="16"/>
        <v>#VALUE!</v>
      </c>
      <c r="C991" t="e">
        <f>FIND(" ",SUBSTITUTE($F$2, CHAR(10), " "),calc!B991)</f>
        <v>#VALUE!</v>
      </c>
      <c r="D991" t="e">
        <f>MID($F$2,calc!B991,calc!C991-calc!B991)</f>
        <v>#VALUE!</v>
      </c>
    </row>
    <row r="992" spans="2:4" ht="16.5" customHeight="1">
      <c r="B992" s="2" t="e">
        <f t="shared" si="16"/>
        <v>#VALUE!</v>
      </c>
      <c r="C992" t="e">
        <f>FIND(" ",SUBSTITUTE($F$2, CHAR(10), " "),calc!B992)</f>
        <v>#VALUE!</v>
      </c>
      <c r="D992" t="e">
        <f>MID($F$2,calc!B992,calc!C992-calc!B992)</f>
        <v>#VALUE!</v>
      </c>
    </row>
    <row r="993" spans="2:4" ht="16.5" customHeight="1">
      <c r="B993" s="2" t="e">
        <f t="shared" si="16"/>
        <v>#VALUE!</v>
      </c>
      <c r="C993" t="e">
        <f>FIND(" ",SUBSTITUTE($F$2, CHAR(10), " "),calc!B993)</f>
        <v>#VALUE!</v>
      </c>
      <c r="D993" t="e">
        <f>MID($F$2,calc!B993,calc!C993-calc!B993)</f>
        <v>#VALUE!</v>
      </c>
    </row>
    <row r="994" spans="2:4" ht="16.5" customHeight="1">
      <c r="B994" s="2" t="e">
        <f t="shared" si="16"/>
        <v>#VALUE!</v>
      </c>
      <c r="C994" t="e">
        <f>FIND(" ",SUBSTITUTE($F$2, CHAR(10), " "),calc!B994)</f>
        <v>#VALUE!</v>
      </c>
      <c r="D994" t="e">
        <f>MID($F$2,calc!B994,calc!C994-calc!B994)</f>
        <v>#VALUE!</v>
      </c>
    </row>
    <row r="995" spans="2:4" ht="16.5" customHeight="1">
      <c r="B995" s="2" t="e">
        <f t="shared" si="16"/>
        <v>#VALUE!</v>
      </c>
      <c r="C995" t="e">
        <f>FIND(" ",SUBSTITUTE($F$2, CHAR(10), " "),calc!B995)</f>
        <v>#VALUE!</v>
      </c>
      <c r="D995" t="e">
        <f>MID($F$2,calc!B995,calc!C995-calc!B995)</f>
        <v>#VALUE!</v>
      </c>
    </row>
    <row r="996" spans="2:4" ht="16.5" customHeight="1">
      <c r="B996" s="2" t="e">
        <f t="shared" si="16"/>
        <v>#VALUE!</v>
      </c>
      <c r="C996" t="e">
        <f>FIND(" ",SUBSTITUTE($F$2, CHAR(10), " "),calc!B996)</f>
        <v>#VALUE!</v>
      </c>
      <c r="D996" t="e">
        <f>MID($F$2,calc!B996,calc!C996-calc!B996)</f>
        <v>#VALUE!</v>
      </c>
    </row>
    <row r="997" spans="2:4" ht="16.5" customHeight="1">
      <c r="B997" s="2" t="e">
        <f t="shared" si="16"/>
        <v>#VALUE!</v>
      </c>
      <c r="C997" t="e">
        <f>FIND(" ",SUBSTITUTE($F$2, CHAR(10), " "),calc!B997)</f>
        <v>#VALUE!</v>
      </c>
      <c r="D997" t="e">
        <f>MID($F$2,calc!B997,calc!C997-calc!B997)</f>
        <v>#VALUE!</v>
      </c>
    </row>
    <row r="998" spans="2:4" ht="16.5" customHeight="1">
      <c r="B998" s="2" t="e">
        <f t="shared" si="16"/>
        <v>#VALUE!</v>
      </c>
      <c r="C998" t="e">
        <f>FIND(" ",SUBSTITUTE($F$2, CHAR(10), " "),calc!B998)</f>
        <v>#VALUE!</v>
      </c>
      <c r="D998" t="e">
        <f>MID($F$2,calc!B998,calc!C998-calc!B998)</f>
        <v>#VALUE!</v>
      </c>
    </row>
    <row r="999" spans="2:4" ht="16.5" customHeight="1">
      <c r="B999" s="2" t="e">
        <f t="shared" si="16"/>
        <v>#VALUE!</v>
      </c>
      <c r="C999" t="e">
        <f>FIND(" ",SUBSTITUTE($F$2, CHAR(10), " "),calc!B999)</f>
        <v>#VALUE!</v>
      </c>
      <c r="D999" t="e">
        <f>MID($F$2,calc!B999,calc!C999-calc!B999)</f>
        <v>#VALUE!</v>
      </c>
    </row>
    <row r="1000" spans="2:4" ht="16.5" customHeight="1">
      <c r="B1000" s="2" t="e">
        <f t="shared" si="16"/>
        <v>#VALUE!</v>
      </c>
      <c r="C1000" t="e">
        <f>FIND(" ",SUBSTITUTE($F$2, CHAR(10), " "),calc!B1000)</f>
        <v>#VALUE!</v>
      </c>
      <c r="D1000" t="e">
        <f>MID($F$2,calc!B1000,calc!C1000-calc!B1000)</f>
        <v>#VALUE!</v>
      </c>
    </row>
  </sheetData>
  <phoneticPr fontId="3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0AB1F-DE4B-448E-90BF-4F5018E1D157}">
  <sheetPr codeName="Sheet7"/>
  <dimension ref="A1:G101"/>
  <sheetViews>
    <sheetView topLeftCell="B1" workbookViewId="0">
      <selection activeCell="G5" sqref="G5"/>
    </sheetView>
  </sheetViews>
  <sheetFormatPr defaultRowHeight="15"/>
  <cols>
    <col min="1" max="1" width="26.140625" customWidth="1"/>
    <col min="5" max="5" width="48" customWidth="1"/>
    <col min="7" max="7" width="40.28515625" customWidth="1"/>
  </cols>
  <sheetData>
    <row r="1" spans="1:7" ht="16.5">
      <c r="A1" s="8" t="s">
        <v>225</v>
      </c>
      <c r="B1" s="6" t="s">
        <v>222</v>
      </c>
      <c r="C1" s="7" t="s">
        <v>223</v>
      </c>
      <c r="D1" s="7" t="s">
        <v>224</v>
      </c>
    </row>
    <row r="2" spans="1:7">
      <c r="A2" t="str">
        <f>MID(_posts[[#This Row],[Name]],12,LEN(_posts[[#This Row],[Name]])-(11+LEN(_posts[[#This Row],[Extension]])))</f>
        <v>dijkstra</v>
      </c>
      <c r="B2" t="str">
        <f>MID(_posts[[#This Row],[Name]], 1, 4)</f>
        <v>2024</v>
      </c>
      <c r="C2" t="str">
        <f>MID(_posts[[#This Row],[Name]], 6, 2)</f>
        <v>01</v>
      </c>
      <c r="D2" t="str">
        <f>MID(_posts[[#This Row],[Name]], 9, 2)</f>
        <v>01</v>
      </c>
      <c r="E2" t="str">
        <f>_xlfn.CONCAT("post/", B2, "/", C2, "/", D2, "/", A2, ".html")</f>
        <v>post/2024/01/01/dijkstra.html</v>
      </c>
      <c r="G2" s="9" t="str" cm="1">
        <f t="array" aca="1" ref="G2" ca="1">LEFT(CELL("filename",$A$1),FIND("[",CELL("filename",$A$1),1)-1)</f>
        <v>C:\Users\user\Desktop\algorithm_with_boj\</v>
      </c>
    </row>
    <row r="3" spans="1:7">
      <c r="A3" t="str">
        <f>MID(_posts[[#This Row],[Name]],12,LEN(_posts[[#This Row],[Name]])-(11+LEN(_posts[[#This Row],[Extension]])))</f>
        <v>trie</v>
      </c>
      <c r="B3" t="str">
        <f>MID(_posts[[#This Row],[Name]], 1, 4)</f>
        <v>2024</v>
      </c>
      <c r="C3" t="str">
        <f>MID(_posts[[#This Row],[Name]], 6, 2)</f>
        <v>01</v>
      </c>
      <c r="D3" t="str">
        <f>MID(_posts[[#This Row],[Name]], 9, 2)</f>
        <v>03</v>
      </c>
      <c r="E3" t="str">
        <f t="shared" ref="E3:E66" si="0">_xlfn.CONCAT("post/", B3, "/", C3, "/", D3, "/", A3, ".html")</f>
        <v>post/2024/01/03/trie.html</v>
      </c>
      <c r="G3" s="10"/>
    </row>
    <row r="4" spans="1:7">
      <c r="A4" t="str">
        <f>MID(_posts[[#This Row],[Name]],12,LEN(_posts[[#This Row],[Name]])-(11+LEN(_posts[[#This Row],[Extension]])))</f>
        <v>bellman_ford</v>
      </c>
      <c r="B4" t="str">
        <f>MID(_posts[[#This Row],[Name]], 1, 4)</f>
        <v>2024</v>
      </c>
      <c r="C4" t="str">
        <f>MID(_posts[[#This Row],[Name]], 6, 2)</f>
        <v>01</v>
      </c>
      <c r="D4" t="str">
        <f>MID(_posts[[#This Row],[Name]], 9, 2)</f>
        <v>07</v>
      </c>
      <c r="E4" t="str">
        <f t="shared" si="0"/>
        <v>post/2024/01/07/bellman_ford.html</v>
      </c>
      <c r="G4" s="11"/>
    </row>
    <row r="5" spans="1:7">
      <c r="A5" t="str">
        <f>MID(_posts[[#This Row],[Name]],12,LEN(_posts[[#This Row],[Name]])-(11+LEN(_posts[[#This Row],[Extension]])))</f>
        <v>floyd_warshall</v>
      </c>
      <c r="B5" t="str">
        <f>MID(_posts[[#This Row],[Name]], 1, 4)</f>
        <v>2024</v>
      </c>
      <c r="C5" t="str">
        <f>MID(_posts[[#This Row],[Name]], 6, 2)</f>
        <v>01</v>
      </c>
      <c r="D5" t="str">
        <f>MID(_posts[[#This Row],[Name]], 9, 2)</f>
        <v>07</v>
      </c>
      <c r="E5" t="str">
        <f t="shared" si="0"/>
        <v>post/2024/01/07/floyd_warshall.html</v>
      </c>
    </row>
    <row r="6" spans="1:7">
      <c r="A6" t="str">
        <f>MID(_posts[[#This Row],[Name]],12,LEN(_posts[[#This Row],[Name]])-(11+LEN(_posts[[#This Row],[Extension]])))</f>
        <v>segtree</v>
      </c>
      <c r="B6" t="str">
        <f>MID(_posts[[#This Row],[Name]], 1, 4)</f>
        <v>2024</v>
      </c>
      <c r="C6" t="str">
        <f>MID(_posts[[#This Row],[Name]], 6, 2)</f>
        <v>01</v>
      </c>
      <c r="D6" t="str">
        <f>MID(_posts[[#This Row],[Name]], 9, 2)</f>
        <v>11</v>
      </c>
      <c r="E6" t="str">
        <f t="shared" si="0"/>
        <v>post/2024/01/11/segtree.html</v>
      </c>
    </row>
    <row r="7" spans="1:7">
      <c r="A7" t="str">
        <f>MID(_posts[[#This Row],[Name]],12,LEN(_posts[[#This Row],[Name]])-(11+LEN(_posts[[#This Row],[Extension]])))</f>
        <v>disjoint_set</v>
      </c>
      <c r="B7" t="str">
        <f>MID(_posts[[#This Row],[Name]], 1, 4)</f>
        <v>2024</v>
      </c>
      <c r="C7" t="str">
        <f>MID(_posts[[#This Row],[Name]], 6, 2)</f>
        <v>01</v>
      </c>
      <c r="D7" t="str">
        <f>MID(_posts[[#This Row],[Name]], 9, 2)</f>
        <v>13</v>
      </c>
      <c r="E7" t="str">
        <f t="shared" si="0"/>
        <v>post/2024/01/13/disjoint_set.html</v>
      </c>
    </row>
    <row r="8" spans="1:7">
      <c r="A8" t="str">
        <f>MID(_posts[[#This Row],[Name]],12,LEN(_posts[[#This Row],[Name]])-(11+LEN(_posts[[#This Row],[Extension]])))</f>
        <v>priority_queue</v>
      </c>
      <c r="B8" t="str">
        <f>MID(_posts[[#This Row],[Name]], 1, 4)</f>
        <v>2024</v>
      </c>
      <c r="C8" t="str">
        <f>MID(_posts[[#This Row],[Name]], 6, 2)</f>
        <v>01</v>
      </c>
      <c r="D8" t="str">
        <f>MID(_posts[[#This Row],[Name]], 9, 2)</f>
        <v>15</v>
      </c>
      <c r="E8" t="str">
        <f t="shared" si="0"/>
        <v>post/2024/01/15/priority_queue.html</v>
      </c>
    </row>
    <row r="9" spans="1:7">
      <c r="A9" t="str">
        <f>MID(_posts[[#This Row],[Name]],12,LEN(_posts[[#This Row],[Name]])-(11+LEN(_posts[[#This Row],[Extension]])))</f>
        <v>euler_tour_technique</v>
      </c>
      <c r="B9" t="str">
        <f>MID(_posts[[#This Row],[Name]], 1, 4)</f>
        <v>2024</v>
      </c>
      <c r="C9" t="str">
        <f>MID(_posts[[#This Row],[Name]], 6, 2)</f>
        <v>01</v>
      </c>
      <c r="D9" t="str">
        <f>MID(_posts[[#This Row],[Name]], 9, 2)</f>
        <v>18</v>
      </c>
      <c r="E9" t="str">
        <f t="shared" si="0"/>
        <v>post/2024/01/18/euler_tour_technique.html</v>
      </c>
    </row>
    <row r="10" spans="1:7">
      <c r="A10" t="str">
        <f>MID(_posts[[#This Row],[Name]],12,LEN(_posts[[#This Row],[Name]])-(11+LEN(_posts[[#This Row],[Extension]])))</f>
        <v>lca</v>
      </c>
      <c r="B10" t="str">
        <f>MID(_posts[[#This Row],[Name]], 1, 4)</f>
        <v>2024</v>
      </c>
      <c r="C10" t="str">
        <f>MID(_posts[[#This Row],[Name]], 6, 2)</f>
        <v>01</v>
      </c>
      <c r="D10" t="str">
        <f>MID(_posts[[#This Row],[Name]], 9, 2)</f>
        <v>20</v>
      </c>
      <c r="E10" t="str">
        <f t="shared" si="0"/>
        <v>post/2024/01/20/lca.html</v>
      </c>
    </row>
    <row r="11" spans="1:7">
      <c r="A11" t="str">
        <f>MID(_posts[[#This Row],[Name]],12,LEN(_posts[[#This Row],[Name]])-(11+LEN(_posts[[#This Row],[Extension]])))</f>
        <v>lazyprop</v>
      </c>
      <c r="B11" t="str">
        <f>MID(_posts[[#This Row],[Name]], 1, 4)</f>
        <v>2024</v>
      </c>
      <c r="C11" t="str">
        <f>MID(_posts[[#This Row],[Name]], 6, 2)</f>
        <v>01</v>
      </c>
      <c r="D11" t="str">
        <f>MID(_posts[[#This Row],[Name]], 9, 2)</f>
        <v>29</v>
      </c>
      <c r="E11" t="str">
        <f t="shared" si="0"/>
        <v>post/2024/01/29/lazyprop.html</v>
      </c>
    </row>
    <row r="12" spans="1:7">
      <c r="A12" t="str">
        <f>MID(_posts[[#This Row],[Name]],12,LEN(_posts[[#This Row],[Name]])-(11+LEN(_posts[[#This Row],[Extension]])))</f>
        <v>pst</v>
      </c>
      <c r="B12" t="str">
        <f>MID(_posts[[#This Row],[Name]], 1, 4)</f>
        <v>2024</v>
      </c>
      <c r="C12" t="str">
        <f>MID(_posts[[#This Row],[Name]], 6, 2)</f>
        <v>01</v>
      </c>
      <c r="D12" t="str">
        <f>MID(_posts[[#This Row],[Name]], 9, 2)</f>
        <v>30</v>
      </c>
      <c r="E12" t="str">
        <f t="shared" si="0"/>
        <v>post/2024/01/30/pst.html</v>
      </c>
    </row>
    <row r="13" spans="1:7">
      <c r="A13" t="str">
        <f>MID(_posts[[#This Row],[Name]],12,LEN(_posts[[#This Row],[Name]])-(11+LEN(_posts[[#This Row],[Extension]])))</f>
        <v>hld</v>
      </c>
      <c r="B13" t="str">
        <f>MID(_posts[[#This Row],[Name]], 1, 4)</f>
        <v>2024</v>
      </c>
      <c r="C13" t="str">
        <f>MID(_posts[[#This Row],[Name]], 6, 2)</f>
        <v>01</v>
      </c>
      <c r="D13" t="str">
        <f>MID(_posts[[#This Row],[Name]], 9, 2)</f>
        <v>31</v>
      </c>
      <c r="E13" t="str">
        <f t="shared" si="0"/>
        <v>post/2024/01/31/hld.html</v>
      </c>
    </row>
    <row r="14" spans="1:7">
      <c r="A14" t="str">
        <f>MID(_posts[[#This Row],[Name]],12,LEN(_posts[[#This Row],[Name]])-(11+LEN(_posts[[#This Row],[Extension]])))</f>
        <v>flow</v>
      </c>
      <c r="B14" t="str">
        <f>MID(_posts[[#This Row],[Name]], 1, 4)</f>
        <v>2024</v>
      </c>
      <c r="C14" t="str">
        <f>MID(_posts[[#This Row],[Name]], 6, 2)</f>
        <v>02</v>
      </c>
      <c r="D14" t="str">
        <f>MID(_posts[[#This Row],[Name]], 9, 2)</f>
        <v>01</v>
      </c>
      <c r="E14" t="str">
        <f t="shared" si="0"/>
        <v>post/2024/02/01/flow.html</v>
      </c>
    </row>
    <row r="15" spans="1:7">
      <c r="A15" t="e">
        <f>MID(_posts[[#This Row],[Name]],12,LEN(_posts[[#This Row],[Name]])-(11+LEN(_posts[[#This Row],[Extension]])))</f>
        <v>#VALUE!</v>
      </c>
      <c r="B15" t="e">
        <f>MID(_posts[[#This Row],[Name]], 1, 4)</f>
        <v>#VALUE!</v>
      </c>
      <c r="C15" t="e">
        <f>MID(_posts[[#This Row],[Name]], 6, 2)</f>
        <v>#VALUE!</v>
      </c>
      <c r="D15" t="e">
        <f>MID(_posts[[#This Row],[Name]], 9, 2)</f>
        <v>#VALUE!</v>
      </c>
      <c r="E15" t="e">
        <f t="shared" si="0"/>
        <v>#VALUE!</v>
      </c>
    </row>
    <row r="16" spans="1:7">
      <c r="A16" t="e">
        <f>MID(_posts[[#This Row],[Name]],12,LEN(_posts[[#This Row],[Name]])-(11+LEN(_posts[[#This Row],[Extension]])))</f>
        <v>#VALUE!</v>
      </c>
      <c r="B16" t="e">
        <f>MID(_posts[[#This Row],[Name]], 1, 4)</f>
        <v>#VALUE!</v>
      </c>
      <c r="C16" t="e">
        <f>MID(_posts[[#This Row],[Name]], 6, 2)</f>
        <v>#VALUE!</v>
      </c>
      <c r="D16" t="e">
        <f>MID(_posts[[#This Row],[Name]], 9, 2)</f>
        <v>#VALUE!</v>
      </c>
      <c r="E16" t="e">
        <f t="shared" si="0"/>
        <v>#VALUE!</v>
      </c>
    </row>
    <row r="17" spans="1:5">
      <c r="A17" t="e">
        <f>MID(_posts[[#This Row],[Name]],12,LEN(_posts[[#This Row],[Name]])-(11+LEN(_posts[[#This Row],[Extension]])))</f>
        <v>#VALUE!</v>
      </c>
      <c r="B17" t="e">
        <f>MID(_posts[[#This Row],[Name]], 1, 4)</f>
        <v>#VALUE!</v>
      </c>
      <c r="C17" t="e">
        <f>MID(_posts[[#This Row],[Name]], 6, 2)</f>
        <v>#VALUE!</v>
      </c>
      <c r="D17" t="e">
        <f>MID(_posts[[#This Row],[Name]], 9, 2)</f>
        <v>#VALUE!</v>
      </c>
      <c r="E17" t="e">
        <f t="shared" si="0"/>
        <v>#VALUE!</v>
      </c>
    </row>
    <row r="18" spans="1:5">
      <c r="A18" t="e">
        <f>MID(_posts[[#This Row],[Name]],12,LEN(_posts[[#This Row],[Name]])-(11+LEN(_posts[[#This Row],[Extension]])))</f>
        <v>#VALUE!</v>
      </c>
      <c r="B18" t="e">
        <f>MID(_posts[[#This Row],[Name]], 1, 4)</f>
        <v>#VALUE!</v>
      </c>
      <c r="C18" t="e">
        <f>MID(_posts[[#This Row],[Name]], 6, 2)</f>
        <v>#VALUE!</v>
      </c>
      <c r="D18" t="e">
        <f>MID(_posts[[#This Row],[Name]], 9, 2)</f>
        <v>#VALUE!</v>
      </c>
      <c r="E18" t="e">
        <f t="shared" si="0"/>
        <v>#VALUE!</v>
      </c>
    </row>
    <row r="19" spans="1:5">
      <c r="A19" t="e">
        <f>MID(_posts[[#This Row],[Name]],12,LEN(_posts[[#This Row],[Name]])-(11+LEN(_posts[[#This Row],[Extension]])))</f>
        <v>#VALUE!</v>
      </c>
      <c r="B19" t="e">
        <f>MID(_posts[[#This Row],[Name]], 1, 4)</f>
        <v>#VALUE!</v>
      </c>
      <c r="C19" t="e">
        <f>MID(_posts[[#This Row],[Name]], 6, 2)</f>
        <v>#VALUE!</v>
      </c>
      <c r="D19" t="e">
        <f>MID(_posts[[#This Row],[Name]], 9, 2)</f>
        <v>#VALUE!</v>
      </c>
      <c r="E19" t="e">
        <f t="shared" si="0"/>
        <v>#VALUE!</v>
      </c>
    </row>
    <row r="20" spans="1:5">
      <c r="A20" t="e">
        <f>MID(_posts[[#This Row],[Name]],12,LEN(_posts[[#This Row],[Name]])-(11+LEN(_posts[[#This Row],[Extension]])))</f>
        <v>#VALUE!</v>
      </c>
      <c r="B20" t="e">
        <f>MID(_posts[[#This Row],[Name]], 1, 4)</f>
        <v>#VALUE!</v>
      </c>
      <c r="C20" t="e">
        <f>MID(_posts[[#This Row],[Name]], 6, 2)</f>
        <v>#VALUE!</v>
      </c>
      <c r="D20" t="e">
        <f>MID(_posts[[#This Row],[Name]], 9, 2)</f>
        <v>#VALUE!</v>
      </c>
      <c r="E20" t="e">
        <f t="shared" si="0"/>
        <v>#VALUE!</v>
      </c>
    </row>
    <row r="21" spans="1:5">
      <c r="A21" t="e">
        <f>MID(_posts[[#This Row],[Name]],12,LEN(_posts[[#This Row],[Name]])-(11+LEN(_posts[[#This Row],[Extension]])))</f>
        <v>#VALUE!</v>
      </c>
      <c r="B21" t="e">
        <f>MID(_posts[[#This Row],[Name]], 1, 4)</f>
        <v>#VALUE!</v>
      </c>
      <c r="C21" t="e">
        <f>MID(_posts[[#This Row],[Name]], 6, 2)</f>
        <v>#VALUE!</v>
      </c>
      <c r="D21" t="e">
        <f>MID(_posts[[#This Row],[Name]], 9, 2)</f>
        <v>#VALUE!</v>
      </c>
      <c r="E21" t="e">
        <f t="shared" si="0"/>
        <v>#VALUE!</v>
      </c>
    </row>
    <row r="22" spans="1:5">
      <c r="A22" t="e">
        <f>MID(_posts[[#This Row],[Name]],12,LEN(_posts[[#This Row],[Name]])-(11+LEN(_posts[[#This Row],[Extension]])))</f>
        <v>#VALUE!</v>
      </c>
      <c r="B22" t="e">
        <f>MID(_posts[[#This Row],[Name]], 1, 4)</f>
        <v>#VALUE!</v>
      </c>
      <c r="C22" t="e">
        <f>MID(_posts[[#This Row],[Name]], 6, 2)</f>
        <v>#VALUE!</v>
      </c>
      <c r="D22" t="e">
        <f>MID(_posts[[#This Row],[Name]], 9, 2)</f>
        <v>#VALUE!</v>
      </c>
      <c r="E22" t="e">
        <f t="shared" si="0"/>
        <v>#VALUE!</v>
      </c>
    </row>
    <row r="23" spans="1:5">
      <c r="A23" t="e">
        <f>MID(_posts[[#This Row],[Name]],12,LEN(_posts[[#This Row],[Name]])-(11+LEN(_posts[[#This Row],[Extension]])))</f>
        <v>#VALUE!</v>
      </c>
      <c r="B23" t="e">
        <f>MID(_posts[[#This Row],[Name]], 1, 4)</f>
        <v>#VALUE!</v>
      </c>
      <c r="C23" t="e">
        <f>MID(_posts[[#This Row],[Name]], 6, 2)</f>
        <v>#VALUE!</v>
      </c>
      <c r="D23" t="e">
        <f>MID(_posts[[#This Row],[Name]], 9, 2)</f>
        <v>#VALUE!</v>
      </c>
      <c r="E23" t="e">
        <f t="shared" si="0"/>
        <v>#VALUE!</v>
      </c>
    </row>
    <row r="24" spans="1:5">
      <c r="A24" t="e">
        <f>MID(_posts[[#This Row],[Name]],12,LEN(_posts[[#This Row],[Name]])-(11+LEN(_posts[[#This Row],[Extension]])))</f>
        <v>#VALUE!</v>
      </c>
      <c r="B24" t="e">
        <f>MID(_posts[[#This Row],[Name]], 1, 4)</f>
        <v>#VALUE!</v>
      </c>
      <c r="C24" t="e">
        <f>MID(_posts[[#This Row],[Name]], 6, 2)</f>
        <v>#VALUE!</v>
      </c>
      <c r="D24" t="e">
        <f>MID(_posts[[#This Row],[Name]], 9, 2)</f>
        <v>#VALUE!</v>
      </c>
      <c r="E24" t="e">
        <f t="shared" si="0"/>
        <v>#VALUE!</v>
      </c>
    </row>
    <row r="25" spans="1:5">
      <c r="A25" t="e">
        <f>MID(_posts[[#This Row],[Name]],12,LEN(_posts[[#This Row],[Name]])-(11+LEN(_posts[[#This Row],[Extension]])))</f>
        <v>#VALUE!</v>
      </c>
      <c r="B25" t="e">
        <f>MID(_posts[[#This Row],[Name]], 1, 4)</f>
        <v>#VALUE!</v>
      </c>
      <c r="C25" t="e">
        <f>MID(_posts[[#This Row],[Name]], 6, 2)</f>
        <v>#VALUE!</v>
      </c>
      <c r="D25" t="e">
        <f>MID(_posts[[#This Row],[Name]], 9, 2)</f>
        <v>#VALUE!</v>
      </c>
      <c r="E25" t="e">
        <f t="shared" si="0"/>
        <v>#VALUE!</v>
      </c>
    </row>
    <row r="26" spans="1:5">
      <c r="A26" t="e">
        <f>MID(_posts[[#This Row],[Name]],12,LEN(_posts[[#This Row],[Name]])-(11+LEN(_posts[[#This Row],[Extension]])))</f>
        <v>#VALUE!</v>
      </c>
      <c r="B26" t="e">
        <f>MID(_posts[[#This Row],[Name]], 1, 4)</f>
        <v>#VALUE!</v>
      </c>
      <c r="C26" t="e">
        <f>MID(_posts[[#This Row],[Name]], 6, 2)</f>
        <v>#VALUE!</v>
      </c>
      <c r="D26" t="e">
        <f>MID(_posts[[#This Row],[Name]], 9, 2)</f>
        <v>#VALUE!</v>
      </c>
      <c r="E26" t="e">
        <f t="shared" si="0"/>
        <v>#VALUE!</v>
      </c>
    </row>
    <row r="27" spans="1:5">
      <c r="A27" t="e">
        <f>MID(_posts[[#This Row],[Name]],12,LEN(_posts[[#This Row],[Name]])-(11+LEN(_posts[[#This Row],[Extension]])))</f>
        <v>#VALUE!</v>
      </c>
      <c r="B27" t="e">
        <f>MID(_posts[[#This Row],[Name]], 1, 4)</f>
        <v>#VALUE!</v>
      </c>
      <c r="C27" t="e">
        <f>MID(_posts[[#This Row],[Name]], 6, 2)</f>
        <v>#VALUE!</v>
      </c>
      <c r="D27" t="e">
        <f>MID(_posts[[#This Row],[Name]], 9, 2)</f>
        <v>#VALUE!</v>
      </c>
      <c r="E27" t="e">
        <f t="shared" si="0"/>
        <v>#VALUE!</v>
      </c>
    </row>
    <row r="28" spans="1:5">
      <c r="A28" t="e">
        <f>MID(_posts[[#This Row],[Name]],12,LEN(_posts[[#This Row],[Name]])-(11+LEN(_posts[[#This Row],[Extension]])))</f>
        <v>#VALUE!</v>
      </c>
      <c r="B28" t="e">
        <f>MID(_posts[[#This Row],[Name]], 1, 4)</f>
        <v>#VALUE!</v>
      </c>
      <c r="C28" t="e">
        <f>MID(_posts[[#This Row],[Name]], 6, 2)</f>
        <v>#VALUE!</v>
      </c>
      <c r="D28" t="e">
        <f>MID(_posts[[#This Row],[Name]], 9, 2)</f>
        <v>#VALUE!</v>
      </c>
      <c r="E28" t="e">
        <f t="shared" si="0"/>
        <v>#VALUE!</v>
      </c>
    </row>
    <row r="29" spans="1:5">
      <c r="A29" t="e">
        <f>MID(_posts[[#This Row],[Name]],12,LEN(_posts[[#This Row],[Name]])-(11+LEN(_posts[[#This Row],[Extension]])))</f>
        <v>#VALUE!</v>
      </c>
      <c r="B29" t="e">
        <f>MID(_posts[[#This Row],[Name]], 1, 4)</f>
        <v>#VALUE!</v>
      </c>
      <c r="C29" t="e">
        <f>MID(_posts[[#This Row],[Name]], 6, 2)</f>
        <v>#VALUE!</v>
      </c>
      <c r="D29" t="e">
        <f>MID(_posts[[#This Row],[Name]], 9, 2)</f>
        <v>#VALUE!</v>
      </c>
      <c r="E29" t="e">
        <f t="shared" si="0"/>
        <v>#VALUE!</v>
      </c>
    </row>
    <row r="30" spans="1:5">
      <c r="A30" t="e">
        <f>MID(_posts[[#This Row],[Name]],12,LEN(_posts[[#This Row],[Name]])-(11+LEN(_posts[[#This Row],[Extension]])))</f>
        <v>#VALUE!</v>
      </c>
      <c r="B30" t="e">
        <f>MID(_posts[[#This Row],[Name]], 1, 4)</f>
        <v>#VALUE!</v>
      </c>
      <c r="C30" t="e">
        <f>MID(_posts[[#This Row],[Name]], 6, 2)</f>
        <v>#VALUE!</v>
      </c>
      <c r="D30" t="e">
        <f>MID(_posts[[#This Row],[Name]], 9, 2)</f>
        <v>#VALUE!</v>
      </c>
      <c r="E30" t="e">
        <f t="shared" si="0"/>
        <v>#VALUE!</v>
      </c>
    </row>
    <row r="31" spans="1:5">
      <c r="A31" t="e">
        <f>MID(_posts[[#This Row],[Name]],12,LEN(_posts[[#This Row],[Name]])-(11+LEN(_posts[[#This Row],[Extension]])))</f>
        <v>#VALUE!</v>
      </c>
      <c r="B31" t="e">
        <f>MID(_posts[[#This Row],[Name]], 1, 4)</f>
        <v>#VALUE!</v>
      </c>
      <c r="C31" t="e">
        <f>MID(_posts[[#This Row],[Name]], 6, 2)</f>
        <v>#VALUE!</v>
      </c>
      <c r="D31" t="e">
        <f>MID(_posts[[#This Row],[Name]], 9, 2)</f>
        <v>#VALUE!</v>
      </c>
      <c r="E31" t="e">
        <f t="shared" si="0"/>
        <v>#VALUE!</v>
      </c>
    </row>
    <row r="32" spans="1:5">
      <c r="A32" t="e">
        <f>MID(_posts[[#This Row],[Name]],12,LEN(_posts[[#This Row],[Name]])-(11+LEN(_posts[[#This Row],[Extension]])))</f>
        <v>#VALUE!</v>
      </c>
      <c r="B32" t="e">
        <f>MID(_posts[[#This Row],[Name]], 1, 4)</f>
        <v>#VALUE!</v>
      </c>
      <c r="C32" t="e">
        <f>MID(_posts[[#This Row],[Name]], 6, 2)</f>
        <v>#VALUE!</v>
      </c>
      <c r="D32" t="e">
        <f>MID(_posts[[#This Row],[Name]], 9, 2)</f>
        <v>#VALUE!</v>
      </c>
      <c r="E32" t="e">
        <f t="shared" si="0"/>
        <v>#VALUE!</v>
      </c>
    </row>
    <row r="33" spans="1:5">
      <c r="A33" t="e">
        <f>MID(_posts[[#This Row],[Name]],12,LEN(_posts[[#This Row],[Name]])-(11+LEN(_posts[[#This Row],[Extension]])))</f>
        <v>#VALUE!</v>
      </c>
      <c r="B33" t="e">
        <f>MID(_posts[[#This Row],[Name]], 1, 4)</f>
        <v>#VALUE!</v>
      </c>
      <c r="C33" t="e">
        <f>MID(_posts[[#This Row],[Name]], 6, 2)</f>
        <v>#VALUE!</v>
      </c>
      <c r="D33" t="e">
        <f>MID(_posts[[#This Row],[Name]], 9, 2)</f>
        <v>#VALUE!</v>
      </c>
      <c r="E33" t="e">
        <f t="shared" si="0"/>
        <v>#VALUE!</v>
      </c>
    </row>
    <row r="34" spans="1:5">
      <c r="A34" t="e">
        <f>MID(_posts[[#This Row],[Name]],12,LEN(_posts[[#This Row],[Name]])-(11+LEN(_posts[[#This Row],[Extension]])))</f>
        <v>#VALUE!</v>
      </c>
      <c r="B34" t="e">
        <f>MID(_posts[[#This Row],[Name]], 1, 4)</f>
        <v>#VALUE!</v>
      </c>
      <c r="C34" t="e">
        <f>MID(_posts[[#This Row],[Name]], 6, 2)</f>
        <v>#VALUE!</v>
      </c>
      <c r="D34" t="e">
        <f>MID(_posts[[#This Row],[Name]], 9, 2)</f>
        <v>#VALUE!</v>
      </c>
      <c r="E34" t="e">
        <f t="shared" si="0"/>
        <v>#VALUE!</v>
      </c>
    </row>
    <row r="35" spans="1:5">
      <c r="A35" t="e">
        <f>MID(_posts[[#This Row],[Name]],12,LEN(_posts[[#This Row],[Name]])-(11+LEN(_posts[[#This Row],[Extension]])))</f>
        <v>#VALUE!</v>
      </c>
      <c r="B35" t="e">
        <f>MID(_posts[[#This Row],[Name]], 1, 4)</f>
        <v>#VALUE!</v>
      </c>
      <c r="C35" t="e">
        <f>MID(_posts[[#This Row],[Name]], 6, 2)</f>
        <v>#VALUE!</v>
      </c>
      <c r="D35" t="e">
        <f>MID(_posts[[#This Row],[Name]], 9, 2)</f>
        <v>#VALUE!</v>
      </c>
      <c r="E35" t="e">
        <f t="shared" si="0"/>
        <v>#VALUE!</v>
      </c>
    </row>
    <row r="36" spans="1:5">
      <c r="A36" t="e">
        <f>MID(_posts[[#This Row],[Name]],12,LEN(_posts[[#This Row],[Name]])-(11+LEN(_posts[[#This Row],[Extension]])))</f>
        <v>#VALUE!</v>
      </c>
      <c r="B36" t="e">
        <f>MID(_posts[[#This Row],[Name]], 1, 4)</f>
        <v>#VALUE!</v>
      </c>
      <c r="C36" t="e">
        <f>MID(_posts[[#This Row],[Name]], 6, 2)</f>
        <v>#VALUE!</v>
      </c>
      <c r="D36" t="e">
        <f>MID(_posts[[#This Row],[Name]], 9, 2)</f>
        <v>#VALUE!</v>
      </c>
      <c r="E36" t="e">
        <f t="shared" si="0"/>
        <v>#VALUE!</v>
      </c>
    </row>
    <row r="37" spans="1:5">
      <c r="A37" t="e">
        <f>MID(_posts[[#This Row],[Name]],12,LEN(_posts[[#This Row],[Name]])-(11+LEN(_posts[[#This Row],[Extension]])))</f>
        <v>#VALUE!</v>
      </c>
      <c r="B37" t="e">
        <f>MID(_posts[[#This Row],[Name]], 1, 4)</f>
        <v>#VALUE!</v>
      </c>
      <c r="C37" t="e">
        <f>MID(_posts[[#This Row],[Name]], 6, 2)</f>
        <v>#VALUE!</v>
      </c>
      <c r="D37" t="e">
        <f>MID(_posts[[#This Row],[Name]], 9, 2)</f>
        <v>#VALUE!</v>
      </c>
      <c r="E37" t="e">
        <f t="shared" si="0"/>
        <v>#VALUE!</v>
      </c>
    </row>
    <row r="38" spans="1:5">
      <c r="A38" t="e">
        <f>MID(_posts[[#This Row],[Name]],12,LEN(_posts[[#This Row],[Name]])-(11+LEN(_posts[[#This Row],[Extension]])))</f>
        <v>#VALUE!</v>
      </c>
      <c r="B38" t="e">
        <f>MID(_posts[[#This Row],[Name]], 1, 4)</f>
        <v>#VALUE!</v>
      </c>
      <c r="C38" t="e">
        <f>MID(_posts[[#This Row],[Name]], 6, 2)</f>
        <v>#VALUE!</v>
      </c>
      <c r="D38" t="e">
        <f>MID(_posts[[#This Row],[Name]], 9, 2)</f>
        <v>#VALUE!</v>
      </c>
      <c r="E38" t="e">
        <f t="shared" si="0"/>
        <v>#VALUE!</v>
      </c>
    </row>
    <row r="39" spans="1:5">
      <c r="A39" t="e">
        <f>MID(_posts[[#This Row],[Name]],12,LEN(_posts[[#This Row],[Name]])-(11+LEN(_posts[[#This Row],[Extension]])))</f>
        <v>#VALUE!</v>
      </c>
      <c r="B39" t="e">
        <f>MID(_posts[[#This Row],[Name]], 1, 4)</f>
        <v>#VALUE!</v>
      </c>
      <c r="C39" t="e">
        <f>MID(_posts[[#This Row],[Name]], 6, 2)</f>
        <v>#VALUE!</v>
      </c>
      <c r="D39" t="e">
        <f>MID(_posts[[#This Row],[Name]], 9, 2)</f>
        <v>#VALUE!</v>
      </c>
      <c r="E39" t="e">
        <f t="shared" si="0"/>
        <v>#VALUE!</v>
      </c>
    </row>
    <row r="40" spans="1:5">
      <c r="A40" t="e">
        <f>MID(_posts[[#This Row],[Name]],12,LEN(_posts[[#This Row],[Name]])-(11+LEN(_posts[[#This Row],[Extension]])))</f>
        <v>#VALUE!</v>
      </c>
      <c r="B40" t="e">
        <f>MID(_posts[[#This Row],[Name]], 1, 4)</f>
        <v>#VALUE!</v>
      </c>
      <c r="C40" t="e">
        <f>MID(_posts[[#This Row],[Name]], 6, 2)</f>
        <v>#VALUE!</v>
      </c>
      <c r="D40" t="e">
        <f>MID(_posts[[#This Row],[Name]], 9, 2)</f>
        <v>#VALUE!</v>
      </c>
      <c r="E40" t="e">
        <f t="shared" si="0"/>
        <v>#VALUE!</v>
      </c>
    </row>
    <row r="41" spans="1:5">
      <c r="A41" t="e">
        <f>MID(_posts[[#This Row],[Name]],12,LEN(_posts[[#This Row],[Name]])-(11+LEN(_posts[[#This Row],[Extension]])))</f>
        <v>#VALUE!</v>
      </c>
      <c r="B41" t="e">
        <f>MID(_posts[[#This Row],[Name]], 1, 4)</f>
        <v>#VALUE!</v>
      </c>
      <c r="C41" t="e">
        <f>MID(_posts[[#This Row],[Name]], 6, 2)</f>
        <v>#VALUE!</v>
      </c>
      <c r="D41" t="e">
        <f>MID(_posts[[#This Row],[Name]], 9, 2)</f>
        <v>#VALUE!</v>
      </c>
      <c r="E41" t="e">
        <f t="shared" si="0"/>
        <v>#VALUE!</v>
      </c>
    </row>
    <row r="42" spans="1:5">
      <c r="A42" t="e">
        <f>MID(_posts[[#This Row],[Name]],12,LEN(_posts[[#This Row],[Name]])-(11+LEN(_posts[[#This Row],[Extension]])))</f>
        <v>#VALUE!</v>
      </c>
      <c r="B42" t="e">
        <f>MID(_posts[[#This Row],[Name]], 1, 4)</f>
        <v>#VALUE!</v>
      </c>
      <c r="C42" t="e">
        <f>MID(_posts[[#This Row],[Name]], 6, 2)</f>
        <v>#VALUE!</v>
      </c>
      <c r="D42" t="e">
        <f>MID(_posts[[#This Row],[Name]], 9, 2)</f>
        <v>#VALUE!</v>
      </c>
      <c r="E42" t="e">
        <f t="shared" si="0"/>
        <v>#VALUE!</v>
      </c>
    </row>
    <row r="43" spans="1:5">
      <c r="A43" t="e">
        <f>MID(_posts[[#This Row],[Name]],12,LEN(_posts[[#This Row],[Name]])-(11+LEN(_posts[[#This Row],[Extension]])))</f>
        <v>#VALUE!</v>
      </c>
      <c r="B43" t="e">
        <f>MID(_posts[[#This Row],[Name]], 1, 4)</f>
        <v>#VALUE!</v>
      </c>
      <c r="C43" t="e">
        <f>MID(_posts[[#This Row],[Name]], 6, 2)</f>
        <v>#VALUE!</v>
      </c>
      <c r="D43" t="e">
        <f>MID(_posts[[#This Row],[Name]], 9, 2)</f>
        <v>#VALUE!</v>
      </c>
      <c r="E43" t="e">
        <f t="shared" si="0"/>
        <v>#VALUE!</v>
      </c>
    </row>
    <row r="44" spans="1:5">
      <c r="A44" t="e">
        <f>MID(_posts[[#This Row],[Name]],12,LEN(_posts[[#This Row],[Name]])-(11+LEN(_posts[[#This Row],[Extension]])))</f>
        <v>#VALUE!</v>
      </c>
      <c r="B44" t="e">
        <f>MID(_posts[[#This Row],[Name]], 1, 4)</f>
        <v>#VALUE!</v>
      </c>
      <c r="C44" t="e">
        <f>MID(_posts[[#This Row],[Name]], 6, 2)</f>
        <v>#VALUE!</v>
      </c>
      <c r="D44" t="e">
        <f>MID(_posts[[#This Row],[Name]], 9, 2)</f>
        <v>#VALUE!</v>
      </c>
      <c r="E44" t="e">
        <f t="shared" si="0"/>
        <v>#VALUE!</v>
      </c>
    </row>
    <row r="45" spans="1:5">
      <c r="A45" t="e">
        <f>MID(_posts[[#This Row],[Name]],12,LEN(_posts[[#This Row],[Name]])-(11+LEN(_posts[[#This Row],[Extension]])))</f>
        <v>#VALUE!</v>
      </c>
      <c r="B45" t="e">
        <f>MID(_posts[[#This Row],[Name]], 1, 4)</f>
        <v>#VALUE!</v>
      </c>
      <c r="C45" t="e">
        <f>MID(_posts[[#This Row],[Name]], 6, 2)</f>
        <v>#VALUE!</v>
      </c>
      <c r="D45" t="e">
        <f>MID(_posts[[#This Row],[Name]], 9, 2)</f>
        <v>#VALUE!</v>
      </c>
      <c r="E45" t="e">
        <f t="shared" si="0"/>
        <v>#VALUE!</v>
      </c>
    </row>
    <row r="46" spans="1:5">
      <c r="A46" t="e">
        <f>MID(_posts[[#This Row],[Name]],12,LEN(_posts[[#This Row],[Name]])-(11+LEN(_posts[[#This Row],[Extension]])))</f>
        <v>#VALUE!</v>
      </c>
      <c r="B46" t="e">
        <f>MID(_posts[[#This Row],[Name]], 1, 4)</f>
        <v>#VALUE!</v>
      </c>
      <c r="C46" t="e">
        <f>MID(_posts[[#This Row],[Name]], 6, 2)</f>
        <v>#VALUE!</v>
      </c>
      <c r="D46" t="e">
        <f>MID(_posts[[#This Row],[Name]], 9, 2)</f>
        <v>#VALUE!</v>
      </c>
      <c r="E46" t="e">
        <f t="shared" si="0"/>
        <v>#VALUE!</v>
      </c>
    </row>
    <row r="47" spans="1:5">
      <c r="A47" t="e">
        <f>MID(_posts[[#This Row],[Name]],12,LEN(_posts[[#This Row],[Name]])-(11+LEN(_posts[[#This Row],[Extension]])))</f>
        <v>#VALUE!</v>
      </c>
      <c r="B47" t="e">
        <f>MID(_posts[[#This Row],[Name]], 1, 4)</f>
        <v>#VALUE!</v>
      </c>
      <c r="C47" t="e">
        <f>MID(_posts[[#This Row],[Name]], 6, 2)</f>
        <v>#VALUE!</v>
      </c>
      <c r="D47" t="e">
        <f>MID(_posts[[#This Row],[Name]], 9, 2)</f>
        <v>#VALUE!</v>
      </c>
      <c r="E47" t="e">
        <f t="shared" si="0"/>
        <v>#VALUE!</v>
      </c>
    </row>
    <row r="48" spans="1:5">
      <c r="A48" t="e">
        <f>MID(_posts[[#This Row],[Name]],12,LEN(_posts[[#This Row],[Name]])-(11+LEN(_posts[[#This Row],[Extension]])))</f>
        <v>#VALUE!</v>
      </c>
      <c r="B48" t="e">
        <f>MID(_posts[[#This Row],[Name]], 1, 4)</f>
        <v>#VALUE!</v>
      </c>
      <c r="C48" t="e">
        <f>MID(_posts[[#This Row],[Name]], 6, 2)</f>
        <v>#VALUE!</v>
      </c>
      <c r="D48" t="e">
        <f>MID(_posts[[#This Row],[Name]], 9, 2)</f>
        <v>#VALUE!</v>
      </c>
      <c r="E48" t="e">
        <f t="shared" si="0"/>
        <v>#VALUE!</v>
      </c>
    </row>
    <row r="49" spans="1:5">
      <c r="A49" t="e">
        <f>MID(_posts[[#This Row],[Name]],12,LEN(_posts[[#This Row],[Name]])-(11+LEN(_posts[[#This Row],[Extension]])))</f>
        <v>#VALUE!</v>
      </c>
      <c r="B49" t="e">
        <f>MID(_posts[[#This Row],[Name]], 1, 4)</f>
        <v>#VALUE!</v>
      </c>
      <c r="C49" t="e">
        <f>MID(_posts[[#This Row],[Name]], 6, 2)</f>
        <v>#VALUE!</v>
      </c>
      <c r="D49" t="e">
        <f>MID(_posts[[#This Row],[Name]], 9, 2)</f>
        <v>#VALUE!</v>
      </c>
      <c r="E49" t="e">
        <f t="shared" si="0"/>
        <v>#VALUE!</v>
      </c>
    </row>
    <row r="50" spans="1:5">
      <c r="A50" t="e">
        <f>MID(_posts[[#This Row],[Name]],12,LEN(_posts[[#This Row],[Name]])-(11+LEN(_posts[[#This Row],[Extension]])))</f>
        <v>#VALUE!</v>
      </c>
      <c r="B50" t="e">
        <f>MID(_posts[[#This Row],[Name]], 1, 4)</f>
        <v>#VALUE!</v>
      </c>
      <c r="C50" t="e">
        <f>MID(_posts[[#This Row],[Name]], 6, 2)</f>
        <v>#VALUE!</v>
      </c>
      <c r="D50" t="e">
        <f>MID(_posts[[#This Row],[Name]], 9, 2)</f>
        <v>#VALUE!</v>
      </c>
      <c r="E50" t="e">
        <f t="shared" si="0"/>
        <v>#VALUE!</v>
      </c>
    </row>
    <row r="51" spans="1:5">
      <c r="A51" t="e">
        <f>MID(_posts[[#This Row],[Name]],12,LEN(_posts[[#This Row],[Name]])-(11+LEN(_posts[[#This Row],[Extension]])))</f>
        <v>#VALUE!</v>
      </c>
      <c r="B51" t="e">
        <f>MID(_posts[[#This Row],[Name]], 1, 4)</f>
        <v>#VALUE!</v>
      </c>
      <c r="C51" t="e">
        <f>MID(_posts[[#This Row],[Name]], 6, 2)</f>
        <v>#VALUE!</v>
      </c>
      <c r="D51" t="e">
        <f>MID(_posts[[#This Row],[Name]], 9, 2)</f>
        <v>#VALUE!</v>
      </c>
      <c r="E51" t="e">
        <f t="shared" si="0"/>
        <v>#VALUE!</v>
      </c>
    </row>
    <row r="52" spans="1:5">
      <c r="A52" t="e">
        <f>MID(_posts[[#This Row],[Name]],12,LEN(_posts[[#This Row],[Name]])-(11+LEN(_posts[[#This Row],[Extension]])))</f>
        <v>#VALUE!</v>
      </c>
      <c r="B52" t="e">
        <f>MID(_posts[[#This Row],[Name]], 1, 4)</f>
        <v>#VALUE!</v>
      </c>
      <c r="C52" t="e">
        <f>MID(_posts[[#This Row],[Name]], 6, 2)</f>
        <v>#VALUE!</v>
      </c>
      <c r="D52" t="e">
        <f>MID(_posts[[#This Row],[Name]], 9, 2)</f>
        <v>#VALUE!</v>
      </c>
      <c r="E52" t="e">
        <f t="shared" si="0"/>
        <v>#VALUE!</v>
      </c>
    </row>
    <row r="53" spans="1:5">
      <c r="A53" t="e">
        <f>MID(_posts[[#This Row],[Name]],12,LEN(_posts[[#This Row],[Name]])-(11+LEN(_posts[[#This Row],[Extension]])))</f>
        <v>#VALUE!</v>
      </c>
      <c r="B53" t="e">
        <f>MID(_posts[[#This Row],[Name]], 1, 4)</f>
        <v>#VALUE!</v>
      </c>
      <c r="C53" t="e">
        <f>MID(_posts[[#This Row],[Name]], 6, 2)</f>
        <v>#VALUE!</v>
      </c>
      <c r="D53" t="e">
        <f>MID(_posts[[#This Row],[Name]], 9, 2)</f>
        <v>#VALUE!</v>
      </c>
      <c r="E53" t="e">
        <f t="shared" si="0"/>
        <v>#VALUE!</v>
      </c>
    </row>
    <row r="54" spans="1:5">
      <c r="A54" t="e">
        <f>MID(_posts[[#This Row],[Name]],12,LEN(_posts[[#This Row],[Name]])-(11+LEN(_posts[[#This Row],[Extension]])))</f>
        <v>#VALUE!</v>
      </c>
      <c r="B54" t="e">
        <f>MID(_posts[[#This Row],[Name]], 1, 4)</f>
        <v>#VALUE!</v>
      </c>
      <c r="C54" t="e">
        <f>MID(_posts[[#This Row],[Name]], 6, 2)</f>
        <v>#VALUE!</v>
      </c>
      <c r="D54" t="e">
        <f>MID(_posts[[#This Row],[Name]], 9, 2)</f>
        <v>#VALUE!</v>
      </c>
      <c r="E54" t="e">
        <f t="shared" si="0"/>
        <v>#VALUE!</v>
      </c>
    </row>
    <row r="55" spans="1:5">
      <c r="A55" t="e">
        <f>MID(_posts[[#This Row],[Name]],12,LEN(_posts[[#This Row],[Name]])-(11+LEN(_posts[[#This Row],[Extension]])))</f>
        <v>#VALUE!</v>
      </c>
      <c r="B55" t="e">
        <f>MID(_posts[[#This Row],[Name]], 1, 4)</f>
        <v>#VALUE!</v>
      </c>
      <c r="C55" t="e">
        <f>MID(_posts[[#This Row],[Name]], 6, 2)</f>
        <v>#VALUE!</v>
      </c>
      <c r="D55" t="e">
        <f>MID(_posts[[#This Row],[Name]], 9, 2)</f>
        <v>#VALUE!</v>
      </c>
      <c r="E55" t="e">
        <f t="shared" si="0"/>
        <v>#VALUE!</v>
      </c>
    </row>
    <row r="56" spans="1:5">
      <c r="A56" t="e">
        <f>MID(_posts[[#This Row],[Name]],12,LEN(_posts[[#This Row],[Name]])-(11+LEN(_posts[[#This Row],[Extension]])))</f>
        <v>#VALUE!</v>
      </c>
      <c r="B56" t="e">
        <f>MID(_posts[[#This Row],[Name]], 1, 4)</f>
        <v>#VALUE!</v>
      </c>
      <c r="C56" t="e">
        <f>MID(_posts[[#This Row],[Name]], 6, 2)</f>
        <v>#VALUE!</v>
      </c>
      <c r="D56" t="e">
        <f>MID(_posts[[#This Row],[Name]], 9, 2)</f>
        <v>#VALUE!</v>
      </c>
      <c r="E56" t="e">
        <f t="shared" si="0"/>
        <v>#VALUE!</v>
      </c>
    </row>
    <row r="57" spans="1:5">
      <c r="A57" t="e">
        <f>MID(_posts[[#This Row],[Name]],12,LEN(_posts[[#This Row],[Name]])-(11+LEN(_posts[[#This Row],[Extension]])))</f>
        <v>#VALUE!</v>
      </c>
      <c r="B57" t="e">
        <f>MID(_posts[[#This Row],[Name]], 1, 4)</f>
        <v>#VALUE!</v>
      </c>
      <c r="C57" t="e">
        <f>MID(_posts[[#This Row],[Name]], 6, 2)</f>
        <v>#VALUE!</v>
      </c>
      <c r="D57" t="e">
        <f>MID(_posts[[#This Row],[Name]], 9, 2)</f>
        <v>#VALUE!</v>
      </c>
      <c r="E57" t="e">
        <f t="shared" si="0"/>
        <v>#VALUE!</v>
      </c>
    </row>
    <row r="58" spans="1:5">
      <c r="A58" t="e">
        <f>MID(_posts[[#This Row],[Name]],12,LEN(_posts[[#This Row],[Name]])-(11+LEN(_posts[[#This Row],[Extension]])))</f>
        <v>#VALUE!</v>
      </c>
      <c r="B58" t="e">
        <f>MID(_posts[[#This Row],[Name]], 1, 4)</f>
        <v>#VALUE!</v>
      </c>
      <c r="C58" t="e">
        <f>MID(_posts[[#This Row],[Name]], 6, 2)</f>
        <v>#VALUE!</v>
      </c>
      <c r="D58" t="e">
        <f>MID(_posts[[#This Row],[Name]], 9, 2)</f>
        <v>#VALUE!</v>
      </c>
      <c r="E58" t="e">
        <f t="shared" si="0"/>
        <v>#VALUE!</v>
      </c>
    </row>
    <row r="59" spans="1:5">
      <c r="A59" t="e">
        <f>MID(_posts[[#This Row],[Name]],12,LEN(_posts[[#This Row],[Name]])-(11+LEN(_posts[[#This Row],[Extension]])))</f>
        <v>#VALUE!</v>
      </c>
      <c r="B59" t="e">
        <f>MID(_posts[[#This Row],[Name]], 1, 4)</f>
        <v>#VALUE!</v>
      </c>
      <c r="C59" t="e">
        <f>MID(_posts[[#This Row],[Name]], 6, 2)</f>
        <v>#VALUE!</v>
      </c>
      <c r="D59" t="e">
        <f>MID(_posts[[#This Row],[Name]], 9, 2)</f>
        <v>#VALUE!</v>
      </c>
      <c r="E59" t="e">
        <f t="shared" si="0"/>
        <v>#VALUE!</v>
      </c>
    </row>
    <row r="60" spans="1:5">
      <c r="A60" t="e">
        <f>MID(_posts[[#This Row],[Name]],12,LEN(_posts[[#This Row],[Name]])-(11+LEN(_posts[[#This Row],[Extension]])))</f>
        <v>#VALUE!</v>
      </c>
      <c r="B60" t="e">
        <f>MID(_posts[[#This Row],[Name]], 1, 4)</f>
        <v>#VALUE!</v>
      </c>
      <c r="C60" t="e">
        <f>MID(_posts[[#This Row],[Name]], 6, 2)</f>
        <v>#VALUE!</v>
      </c>
      <c r="D60" t="e">
        <f>MID(_posts[[#This Row],[Name]], 9, 2)</f>
        <v>#VALUE!</v>
      </c>
      <c r="E60" t="e">
        <f t="shared" si="0"/>
        <v>#VALUE!</v>
      </c>
    </row>
    <row r="61" spans="1:5">
      <c r="A61" t="e">
        <f>MID(_posts[[#This Row],[Name]],12,LEN(_posts[[#This Row],[Name]])-(11+LEN(_posts[[#This Row],[Extension]])))</f>
        <v>#VALUE!</v>
      </c>
      <c r="B61" t="e">
        <f>MID(_posts[[#This Row],[Name]], 1, 4)</f>
        <v>#VALUE!</v>
      </c>
      <c r="C61" t="e">
        <f>MID(_posts[[#This Row],[Name]], 6, 2)</f>
        <v>#VALUE!</v>
      </c>
      <c r="D61" t="e">
        <f>MID(_posts[[#This Row],[Name]], 9, 2)</f>
        <v>#VALUE!</v>
      </c>
      <c r="E61" t="e">
        <f t="shared" si="0"/>
        <v>#VALUE!</v>
      </c>
    </row>
    <row r="62" spans="1:5">
      <c r="A62" t="e">
        <f>MID(_posts[[#This Row],[Name]],12,LEN(_posts[[#This Row],[Name]])-(11+LEN(_posts[[#This Row],[Extension]])))</f>
        <v>#VALUE!</v>
      </c>
      <c r="B62" t="e">
        <f>MID(_posts[[#This Row],[Name]], 1, 4)</f>
        <v>#VALUE!</v>
      </c>
      <c r="C62" t="e">
        <f>MID(_posts[[#This Row],[Name]], 6, 2)</f>
        <v>#VALUE!</v>
      </c>
      <c r="D62" t="e">
        <f>MID(_posts[[#This Row],[Name]], 9, 2)</f>
        <v>#VALUE!</v>
      </c>
      <c r="E62" t="e">
        <f t="shared" si="0"/>
        <v>#VALUE!</v>
      </c>
    </row>
    <row r="63" spans="1:5">
      <c r="A63" t="e">
        <f>MID(_posts[[#This Row],[Name]],12,LEN(_posts[[#This Row],[Name]])-(11+LEN(_posts[[#This Row],[Extension]])))</f>
        <v>#VALUE!</v>
      </c>
      <c r="B63" t="e">
        <f>MID(_posts[[#This Row],[Name]], 1, 4)</f>
        <v>#VALUE!</v>
      </c>
      <c r="C63" t="e">
        <f>MID(_posts[[#This Row],[Name]], 6, 2)</f>
        <v>#VALUE!</v>
      </c>
      <c r="D63" t="e">
        <f>MID(_posts[[#This Row],[Name]], 9, 2)</f>
        <v>#VALUE!</v>
      </c>
      <c r="E63" t="e">
        <f t="shared" si="0"/>
        <v>#VALUE!</v>
      </c>
    </row>
    <row r="64" spans="1:5">
      <c r="A64" t="e">
        <f>MID(_posts[[#This Row],[Name]],12,LEN(_posts[[#This Row],[Name]])-(11+LEN(_posts[[#This Row],[Extension]])))</f>
        <v>#VALUE!</v>
      </c>
      <c r="B64" t="e">
        <f>MID(_posts[[#This Row],[Name]], 1, 4)</f>
        <v>#VALUE!</v>
      </c>
      <c r="C64" t="e">
        <f>MID(_posts[[#This Row],[Name]], 6, 2)</f>
        <v>#VALUE!</v>
      </c>
      <c r="D64" t="e">
        <f>MID(_posts[[#This Row],[Name]], 9, 2)</f>
        <v>#VALUE!</v>
      </c>
      <c r="E64" t="e">
        <f t="shared" si="0"/>
        <v>#VALUE!</v>
      </c>
    </row>
    <row r="65" spans="1:5">
      <c r="A65" t="e">
        <f>MID(_posts[[#This Row],[Name]],12,LEN(_posts[[#This Row],[Name]])-(11+LEN(_posts[[#This Row],[Extension]])))</f>
        <v>#VALUE!</v>
      </c>
      <c r="B65" t="e">
        <f>MID(_posts[[#This Row],[Name]], 1, 4)</f>
        <v>#VALUE!</v>
      </c>
      <c r="C65" t="e">
        <f>MID(_posts[[#This Row],[Name]], 6, 2)</f>
        <v>#VALUE!</v>
      </c>
      <c r="D65" t="e">
        <f>MID(_posts[[#This Row],[Name]], 9, 2)</f>
        <v>#VALUE!</v>
      </c>
      <c r="E65" t="e">
        <f t="shared" si="0"/>
        <v>#VALUE!</v>
      </c>
    </row>
    <row r="66" spans="1:5">
      <c r="A66" t="e">
        <f>MID(_posts[[#This Row],[Name]],12,LEN(_posts[[#This Row],[Name]])-(11+LEN(_posts[[#This Row],[Extension]])))</f>
        <v>#VALUE!</v>
      </c>
      <c r="B66" t="e">
        <f>MID(_posts[[#This Row],[Name]], 1, 4)</f>
        <v>#VALUE!</v>
      </c>
      <c r="C66" t="e">
        <f>MID(_posts[[#This Row],[Name]], 6, 2)</f>
        <v>#VALUE!</v>
      </c>
      <c r="D66" t="e">
        <f>MID(_posts[[#This Row],[Name]], 9, 2)</f>
        <v>#VALUE!</v>
      </c>
      <c r="E66" t="e">
        <f t="shared" si="0"/>
        <v>#VALUE!</v>
      </c>
    </row>
    <row r="67" spans="1:5">
      <c r="A67" t="e">
        <f>MID(_posts[[#This Row],[Name]],12,LEN(_posts[[#This Row],[Name]])-(11+LEN(_posts[[#This Row],[Extension]])))</f>
        <v>#VALUE!</v>
      </c>
      <c r="B67" t="e">
        <f>MID(_posts[[#This Row],[Name]], 1, 4)</f>
        <v>#VALUE!</v>
      </c>
      <c r="C67" t="e">
        <f>MID(_posts[[#This Row],[Name]], 6, 2)</f>
        <v>#VALUE!</v>
      </c>
      <c r="D67" t="e">
        <f>MID(_posts[[#This Row],[Name]], 9, 2)</f>
        <v>#VALUE!</v>
      </c>
      <c r="E67" t="e">
        <f t="shared" ref="E67:E101" si="1">_xlfn.CONCAT("post/", B67, "/", C67, "/", D67, "/", A67, ".html")</f>
        <v>#VALUE!</v>
      </c>
    </row>
    <row r="68" spans="1:5">
      <c r="A68" t="e">
        <f>MID(_posts[[#This Row],[Name]],12,LEN(_posts[[#This Row],[Name]])-(11+LEN(_posts[[#This Row],[Extension]])))</f>
        <v>#VALUE!</v>
      </c>
      <c r="B68" t="e">
        <f>MID(_posts[[#This Row],[Name]], 1, 4)</f>
        <v>#VALUE!</v>
      </c>
      <c r="C68" t="e">
        <f>MID(_posts[[#This Row],[Name]], 6, 2)</f>
        <v>#VALUE!</v>
      </c>
      <c r="D68" t="e">
        <f>MID(_posts[[#This Row],[Name]], 9, 2)</f>
        <v>#VALUE!</v>
      </c>
      <c r="E68" t="e">
        <f t="shared" si="1"/>
        <v>#VALUE!</v>
      </c>
    </row>
    <row r="69" spans="1:5">
      <c r="A69" t="e">
        <f>MID(_posts[[#This Row],[Name]],12,LEN(_posts[[#This Row],[Name]])-(11+LEN(_posts[[#This Row],[Extension]])))</f>
        <v>#VALUE!</v>
      </c>
      <c r="B69" t="e">
        <f>MID(_posts[[#This Row],[Name]], 1, 4)</f>
        <v>#VALUE!</v>
      </c>
      <c r="C69" t="e">
        <f>MID(_posts[[#This Row],[Name]], 6, 2)</f>
        <v>#VALUE!</v>
      </c>
      <c r="D69" t="e">
        <f>MID(_posts[[#This Row],[Name]], 9, 2)</f>
        <v>#VALUE!</v>
      </c>
      <c r="E69" t="e">
        <f t="shared" si="1"/>
        <v>#VALUE!</v>
      </c>
    </row>
    <row r="70" spans="1:5">
      <c r="A70" t="e">
        <f>MID(_posts[[#This Row],[Name]],12,LEN(_posts[[#This Row],[Name]])-(11+LEN(_posts[[#This Row],[Extension]])))</f>
        <v>#VALUE!</v>
      </c>
      <c r="B70" t="e">
        <f>MID(_posts[[#This Row],[Name]], 1, 4)</f>
        <v>#VALUE!</v>
      </c>
      <c r="C70" t="e">
        <f>MID(_posts[[#This Row],[Name]], 6, 2)</f>
        <v>#VALUE!</v>
      </c>
      <c r="D70" t="e">
        <f>MID(_posts[[#This Row],[Name]], 9, 2)</f>
        <v>#VALUE!</v>
      </c>
      <c r="E70" t="e">
        <f t="shared" si="1"/>
        <v>#VALUE!</v>
      </c>
    </row>
    <row r="71" spans="1:5">
      <c r="A71" t="e">
        <f>MID(_posts[[#This Row],[Name]],12,LEN(_posts[[#This Row],[Name]])-(11+LEN(_posts[[#This Row],[Extension]])))</f>
        <v>#VALUE!</v>
      </c>
      <c r="B71" t="e">
        <f>MID(_posts[[#This Row],[Name]], 1, 4)</f>
        <v>#VALUE!</v>
      </c>
      <c r="C71" t="e">
        <f>MID(_posts[[#This Row],[Name]], 6, 2)</f>
        <v>#VALUE!</v>
      </c>
      <c r="D71" t="e">
        <f>MID(_posts[[#This Row],[Name]], 9, 2)</f>
        <v>#VALUE!</v>
      </c>
      <c r="E71" t="e">
        <f t="shared" si="1"/>
        <v>#VALUE!</v>
      </c>
    </row>
    <row r="72" spans="1:5">
      <c r="A72" t="e">
        <f>MID(_posts[[#This Row],[Name]],12,LEN(_posts[[#This Row],[Name]])-(11+LEN(_posts[[#This Row],[Extension]])))</f>
        <v>#VALUE!</v>
      </c>
      <c r="B72" t="e">
        <f>MID(_posts[[#This Row],[Name]], 1, 4)</f>
        <v>#VALUE!</v>
      </c>
      <c r="C72" t="e">
        <f>MID(_posts[[#This Row],[Name]], 6, 2)</f>
        <v>#VALUE!</v>
      </c>
      <c r="D72" t="e">
        <f>MID(_posts[[#This Row],[Name]], 9, 2)</f>
        <v>#VALUE!</v>
      </c>
      <c r="E72" t="e">
        <f t="shared" si="1"/>
        <v>#VALUE!</v>
      </c>
    </row>
    <row r="73" spans="1:5">
      <c r="A73" t="e">
        <f>MID(_posts[[#This Row],[Name]],12,LEN(_posts[[#This Row],[Name]])-(11+LEN(_posts[[#This Row],[Extension]])))</f>
        <v>#VALUE!</v>
      </c>
      <c r="B73" t="e">
        <f>MID(_posts[[#This Row],[Name]], 1, 4)</f>
        <v>#VALUE!</v>
      </c>
      <c r="C73" t="e">
        <f>MID(_posts[[#This Row],[Name]], 6, 2)</f>
        <v>#VALUE!</v>
      </c>
      <c r="D73" t="e">
        <f>MID(_posts[[#This Row],[Name]], 9, 2)</f>
        <v>#VALUE!</v>
      </c>
      <c r="E73" t="e">
        <f t="shared" si="1"/>
        <v>#VALUE!</v>
      </c>
    </row>
    <row r="74" spans="1:5">
      <c r="A74" t="e">
        <f>MID(_posts[[#This Row],[Name]],12,LEN(_posts[[#This Row],[Name]])-(11+LEN(_posts[[#This Row],[Extension]])))</f>
        <v>#VALUE!</v>
      </c>
      <c r="B74" t="e">
        <f>MID(_posts[[#This Row],[Name]], 1, 4)</f>
        <v>#VALUE!</v>
      </c>
      <c r="C74" t="e">
        <f>MID(_posts[[#This Row],[Name]], 6, 2)</f>
        <v>#VALUE!</v>
      </c>
      <c r="D74" t="e">
        <f>MID(_posts[[#This Row],[Name]], 9, 2)</f>
        <v>#VALUE!</v>
      </c>
      <c r="E74" t="e">
        <f t="shared" si="1"/>
        <v>#VALUE!</v>
      </c>
    </row>
    <row r="75" spans="1:5">
      <c r="A75" t="e">
        <f>MID(_posts[[#This Row],[Name]],12,LEN(_posts[[#This Row],[Name]])-(11+LEN(_posts[[#This Row],[Extension]])))</f>
        <v>#VALUE!</v>
      </c>
      <c r="B75" t="e">
        <f>MID(_posts[[#This Row],[Name]], 1, 4)</f>
        <v>#VALUE!</v>
      </c>
      <c r="C75" t="e">
        <f>MID(_posts[[#This Row],[Name]], 6, 2)</f>
        <v>#VALUE!</v>
      </c>
      <c r="D75" t="e">
        <f>MID(_posts[[#This Row],[Name]], 9, 2)</f>
        <v>#VALUE!</v>
      </c>
      <c r="E75" t="e">
        <f t="shared" si="1"/>
        <v>#VALUE!</v>
      </c>
    </row>
    <row r="76" spans="1:5">
      <c r="A76" t="e">
        <f>MID(_posts[[#This Row],[Name]],12,LEN(_posts[[#This Row],[Name]])-(11+LEN(_posts[[#This Row],[Extension]])))</f>
        <v>#VALUE!</v>
      </c>
      <c r="B76" t="e">
        <f>MID(_posts[[#This Row],[Name]], 1, 4)</f>
        <v>#VALUE!</v>
      </c>
      <c r="C76" t="e">
        <f>MID(_posts[[#This Row],[Name]], 6, 2)</f>
        <v>#VALUE!</v>
      </c>
      <c r="D76" t="e">
        <f>MID(_posts[[#This Row],[Name]], 9, 2)</f>
        <v>#VALUE!</v>
      </c>
      <c r="E76" t="e">
        <f t="shared" si="1"/>
        <v>#VALUE!</v>
      </c>
    </row>
    <row r="77" spans="1:5">
      <c r="A77" t="e">
        <f>MID(_posts[[#This Row],[Name]],12,LEN(_posts[[#This Row],[Name]])-(11+LEN(_posts[[#This Row],[Extension]])))</f>
        <v>#VALUE!</v>
      </c>
      <c r="B77" t="e">
        <f>MID(_posts[[#This Row],[Name]], 1, 4)</f>
        <v>#VALUE!</v>
      </c>
      <c r="C77" t="e">
        <f>MID(_posts[[#This Row],[Name]], 6, 2)</f>
        <v>#VALUE!</v>
      </c>
      <c r="D77" t="e">
        <f>MID(_posts[[#This Row],[Name]], 9, 2)</f>
        <v>#VALUE!</v>
      </c>
      <c r="E77" t="e">
        <f t="shared" si="1"/>
        <v>#VALUE!</v>
      </c>
    </row>
    <row r="78" spans="1:5">
      <c r="A78" t="e">
        <f>MID(_posts[[#This Row],[Name]],12,LEN(_posts[[#This Row],[Name]])-(11+LEN(_posts[[#This Row],[Extension]])))</f>
        <v>#VALUE!</v>
      </c>
      <c r="B78" t="e">
        <f>MID(_posts[[#This Row],[Name]], 1, 4)</f>
        <v>#VALUE!</v>
      </c>
      <c r="C78" t="e">
        <f>MID(_posts[[#This Row],[Name]], 6, 2)</f>
        <v>#VALUE!</v>
      </c>
      <c r="D78" t="e">
        <f>MID(_posts[[#This Row],[Name]], 9, 2)</f>
        <v>#VALUE!</v>
      </c>
      <c r="E78" t="e">
        <f t="shared" si="1"/>
        <v>#VALUE!</v>
      </c>
    </row>
    <row r="79" spans="1:5">
      <c r="A79" t="e">
        <f>MID(_posts[[#This Row],[Name]],12,LEN(_posts[[#This Row],[Name]])-(11+LEN(_posts[[#This Row],[Extension]])))</f>
        <v>#VALUE!</v>
      </c>
      <c r="B79" t="e">
        <f>MID(_posts[[#This Row],[Name]], 1, 4)</f>
        <v>#VALUE!</v>
      </c>
      <c r="C79" t="e">
        <f>MID(_posts[[#This Row],[Name]], 6, 2)</f>
        <v>#VALUE!</v>
      </c>
      <c r="D79" t="e">
        <f>MID(_posts[[#This Row],[Name]], 9, 2)</f>
        <v>#VALUE!</v>
      </c>
      <c r="E79" t="e">
        <f t="shared" si="1"/>
        <v>#VALUE!</v>
      </c>
    </row>
    <row r="80" spans="1:5">
      <c r="A80" t="e">
        <f>MID(_posts[[#This Row],[Name]],12,LEN(_posts[[#This Row],[Name]])-(11+LEN(_posts[[#This Row],[Extension]])))</f>
        <v>#VALUE!</v>
      </c>
      <c r="B80" t="e">
        <f>MID(_posts[[#This Row],[Name]], 1, 4)</f>
        <v>#VALUE!</v>
      </c>
      <c r="C80" t="e">
        <f>MID(_posts[[#This Row],[Name]], 6, 2)</f>
        <v>#VALUE!</v>
      </c>
      <c r="D80" t="e">
        <f>MID(_posts[[#This Row],[Name]], 9, 2)</f>
        <v>#VALUE!</v>
      </c>
      <c r="E80" t="e">
        <f t="shared" si="1"/>
        <v>#VALUE!</v>
      </c>
    </row>
    <row r="81" spans="1:5">
      <c r="A81" t="e">
        <f>MID(_posts[[#This Row],[Name]],12,LEN(_posts[[#This Row],[Name]])-(11+LEN(_posts[[#This Row],[Extension]])))</f>
        <v>#VALUE!</v>
      </c>
      <c r="B81" t="e">
        <f>MID(_posts[[#This Row],[Name]], 1, 4)</f>
        <v>#VALUE!</v>
      </c>
      <c r="C81" t="e">
        <f>MID(_posts[[#This Row],[Name]], 6, 2)</f>
        <v>#VALUE!</v>
      </c>
      <c r="D81" t="e">
        <f>MID(_posts[[#This Row],[Name]], 9, 2)</f>
        <v>#VALUE!</v>
      </c>
      <c r="E81" t="e">
        <f t="shared" si="1"/>
        <v>#VALUE!</v>
      </c>
    </row>
    <row r="82" spans="1:5">
      <c r="A82" t="e">
        <f>MID(_posts[[#This Row],[Name]],12,LEN(_posts[[#This Row],[Name]])-(11+LEN(_posts[[#This Row],[Extension]])))</f>
        <v>#VALUE!</v>
      </c>
      <c r="B82" t="e">
        <f>MID(_posts[[#This Row],[Name]], 1, 4)</f>
        <v>#VALUE!</v>
      </c>
      <c r="C82" t="e">
        <f>MID(_posts[[#This Row],[Name]], 6, 2)</f>
        <v>#VALUE!</v>
      </c>
      <c r="D82" t="e">
        <f>MID(_posts[[#This Row],[Name]], 9, 2)</f>
        <v>#VALUE!</v>
      </c>
      <c r="E82" t="e">
        <f t="shared" si="1"/>
        <v>#VALUE!</v>
      </c>
    </row>
    <row r="83" spans="1:5">
      <c r="A83" t="e">
        <f>MID(_posts[[#This Row],[Name]],12,LEN(_posts[[#This Row],[Name]])-(11+LEN(_posts[[#This Row],[Extension]])))</f>
        <v>#VALUE!</v>
      </c>
      <c r="B83" t="e">
        <f>MID(_posts[[#This Row],[Name]], 1, 4)</f>
        <v>#VALUE!</v>
      </c>
      <c r="C83" t="e">
        <f>MID(_posts[[#This Row],[Name]], 6, 2)</f>
        <v>#VALUE!</v>
      </c>
      <c r="D83" t="e">
        <f>MID(_posts[[#This Row],[Name]], 9, 2)</f>
        <v>#VALUE!</v>
      </c>
      <c r="E83" t="e">
        <f t="shared" si="1"/>
        <v>#VALUE!</v>
      </c>
    </row>
    <row r="84" spans="1:5">
      <c r="A84" t="e">
        <f>MID(_posts[[#This Row],[Name]],12,LEN(_posts[[#This Row],[Name]])-(11+LEN(_posts[[#This Row],[Extension]])))</f>
        <v>#VALUE!</v>
      </c>
      <c r="B84" t="e">
        <f>MID(_posts[[#This Row],[Name]], 1, 4)</f>
        <v>#VALUE!</v>
      </c>
      <c r="C84" t="e">
        <f>MID(_posts[[#This Row],[Name]], 6, 2)</f>
        <v>#VALUE!</v>
      </c>
      <c r="D84" t="e">
        <f>MID(_posts[[#This Row],[Name]], 9, 2)</f>
        <v>#VALUE!</v>
      </c>
      <c r="E84" t="e">
        <f t="shared" si="1"/>
        <v>#VALUE!</v>
      </c>
    </row>
    <row r="85" spans="1:5">
      <c r="A85" t="e">
        <f>MID(_posts[[#This Row],[Name]],12,LEN(_posts[[#This Row],[Name]])-(11+LEN(_posts[[#This Row],[Extension]])))</f>
        <v>#VALUE!</v>
      </c>
      <c r="B85" t="e">
        <f>MID(_posts[[#This Row],[Name]], 1, 4)</f>
        <v>#VALUE!</v>
      </c>
      <c r="C85" t="e">
        <f>MID(_posts[[#This Row],[Name]], 6, 2)</f>
        <v>#VALUE!</v>
      </c>
      <c r="D85" t="e">
        <f>MID(_posts[[#This Row],[Name]], 9, 2)</f>
        <v>#VALUE!</v>
      </c>
      <c r="E85" t="e">
        <f t="shared" si="1"/>
        <v>#VALUE!</v>
      </c>
    </row>
    <row r="86" spans="1:5">
      <c r="A86" t="e">
        <f>MID(_posts[[#This Row],[Name]],12,LEN(_posts[[#This Row],[Name]])-(11+LEN(_posts[[#This Row],[Extension]])))</f>
        <v>#VALUE!</v>
      </c>
      <c r="B86" t="e">
        <f>MID(_posts[[#This Row],[Name]], 1, 4)</f>
        <v>#VALUE!</v>
      </c>
      <c r="C86" t="e">
        <f>MID(_posts[[#This Row],[Name]], 6, 2)</f>
        <v>#VALUE!</v>
      </c>
      <c r="D86" t="e">
        <f>MID(_posts[[#This Row],[Name]], 9, 2)</f>
        <v>#VALUE!</v>
      </c>
      <c r="E86" t="e">
        <f t="shared" si="1"/>
        <v>#VALUE!</v>
      </c>
    </row>
    <row r="87" spans="1:5">
      <c r="A87" t="e">
        <f>MID(_posts[[#This Row],[Name]],12,LEN(_posts[[#This Row],[Name]])-(11+LEN(_posts[[#This Row],[Extension]])))</f>
        <v>#VALUE!</v>
      </c>
      <c r="B87" t="e">
        <f>MID(_posts[[#This Row],[Name]], 1, 4)</f>
        <v>#VALUE!</v>
      </c>
      <c r="C87" t="e">
        <f>MID(_posts[[#This Row],[Name]], 6, 2)</f>
        <v>#VALUE!</v>
      </c>
      <c r="D87" t="e">
        <f>MID(_posts[[#This Row],[Name]], 9, 2)</f>
        <v>#VALUE!</v>
      </c>
      <c r="E87" t="e">
        <f t="shared" si="1"/>
        <v>#VALUE!</v>
      </c>
    </row>
    <row r="88" spans="1:5">
      <c r="A88" t="e">
        <f>MID(_posts[[#This Row],[Name]],12,LEN(_posts[[#This Row],[Name]])-(11+LEN(_posts[[#This Row],[Extension]])))</f>
        <v>#VALUE!</v>
      </c>
      <c r="B88" t="e">
        <f>MID(_posts[[#This Row],[Name]], 1, 4)</f>
        <v>#VALUE!</v>
      </c>
      <c r="C88" t="e">
        <f>MID(_posts[[#This Row],[Name]], 6, 2)</f>
        <v>#VALUE!</v>
      </c>
      <c r="D88" t="e">
        <f>MID(_posts[[#This Row],[Name]], 9, 2)</f>
        <v>#VALUE!</v>
      </c>
      <c r="E88" t="e">
        <f t="shared" si="1"/>
        <v>#VALUE!</v>
      </c>
    </row>
    <row r="89" spans="1:5">
      <c r="A89" t="e">
        <f>MID(_posts[[#This Row],[Name]],12,LEN(_posts[[#This Row],[Name]])-(11+LEN(_posts[[#This Row],[Extension]])))</f>
        <v>#VALUE!</v>
      </c>
      <c r="B89" t="e">
        <f>MID(_posts[[#This Row],[Name]], 1, 4)</f>
        <v>#VALUE!</v>
      </c>
      <c r="C89" t="e">
        <f>MID(_posts[[#This Row],[Name]], 6, 2)</f>
        <v>#VALUE!</v>
      </c>
      <c r="D89" t="e">
        <f>MID(_posts[[#This Row],[Name]], 9, 2)</f>
        <v>#VALUE!</v>
      </c>
      <c r="E89" t="e">
        <f t="shared" si="1"/>
        <v>#VALUE!</v>
      </c>
    </row>
    <row r="90" spans="1:5">
      <c r="A90" t="e">
        <f>MID(_posts[[#This Row],[Name]],12,LEN(_posts[[#This Row],[Name]])-(11+LEN(_posts[[#This Row],[Extension]])))</f>
        <v>#VALUE!</v>
      </c>
      <c r="B90" t="e">
        <f>MID(_posts[[#This Row],[Name]], 1, 4)</f>
        <v>#VALUE!</v>
      </c>
      <c r="C90" t="e">
        <f>MID(_posts[[#This Row],[Name]], 6, 2)</f>
        <v>#VALUE!</v>
      </c>
      <c r="D90" t="e">
        <f>MID(_posts[[#This Row],[Name]], 9, 2)</f>
        <v>#VALUE!</v>
      </c>
      <c r="E90" t="e">
        <f t="shared" si="1"/>
        <v>#VALUE!</v>
      </c>
    </row>
    <row r="91" spans="1:5">
      <c r="A91" t="e">
        <f>MID(_posts[[#This Row],[Name]],12,LEN(_posts[[#This Row],[Name]])-(11+LEN(_posts[[#This Row],[Extension]])))</f>
        <v>#VALUE!</v>
      </c>
      <c r="B91" t="e">
        <f>MID(_posts[[#This Row],[Name]], 1, 4)</f>
        <v>#VALUE!</v>
      </c>
      <c r="C91" t="e">
        <f>MID(_posts[[#This Row],[Name]], 6, 2)</f>
        <v>#VALUE!</v>
      </c>
      <c r="D91" t="e">
        <f>MID(_posts[[#This Row],[Name]], 9, 2)</f>
        <v>#VALUE!</v>
      </c>
      <c r="E91" t="e">
        <f t="shared" si="1"/>
        <v>#VALUE!</v>
      </c>
    </row>
    <row r="92" spans="1:5">
      <c r="A92" t="e">
        <f>MID(_posts[[#This Row],[Name]],12,LEN(_posts[[#This Row],[Name]])-(11+LEN(_posts[[#This Row],[Extension]])))</f>
        <v>#VALUE!</v>
      </c>
      <c r="B92" t="e">
        <f>MID(_posts[[#This Row],[Name]], 1, 4)</f>
        <v>#VALUE!</v>
      </c>
      <c r="C92" t="e">
        <f>MID(_posts[[#This Row],[Name]], 6, 2)</f>
        <v>#VALUE!</v>
      </c>
      <c r="D92" t="e">
        <f>MID(_posts[[#This Row],[Name]], 9, 2)</f>
        <v>#VALUE!</v>
      </c>
      <c r="E92" t="e">
        <f t="shared" si="1"/>
        <v>#VALUE!</v>
      </c>
    </row>
    <row r="93" spans="1:5">
      <c r="A93" t="e">
        <f>MID(_posts[[#This Row],[Name]],12,LEN(_posts[[#This Row],[Name]])-(11+LEN(_posts[[#This Row],[Extension]])))</f>
        <v>#VALUE!</v>
      </c>
      <c r="B93" t="e">
        <f>MID(_posts[[#This Row],[Name]], 1, 4)</f>
        <v>#VALUE!</v>
      </c>
      <c r="C93" t="e">
        <f>MID(_posts[[#This Row],[Name]], 6, 2)</f>
        <v>#VALUE!</v>
      </c>
      <c r="D93" t="e">
        <f>MID(_posts[[#This Row],[Name]], 9, 2)</f>
        <v>#VALUE!</v>
      </c>
      <c r="E93" t="e">
        <f t="shared" si="1"/>
        <v>#VALUE!</v>
      </c>
    </row>
    <row r="94" spans="1:5">
      <c r="A94" t="e">
        <f>MID(_posts[[#This Row],[Name]],12,LEN(_posts[[#This Row],[Name]])-(11+LEN(_posts[[#This Row],[Extension]])))</f>
        <v>#VALUE!</v>
      </c>
      <c r="B94" t="e">
        <f>MID(_posts[[#This Row],[Name]], 1, 4)</f>
        <v>#VALUE!</v>
      </c>
      <c r="C94" t="e">
        <f>MID(_posts[[#This Row],[Name]], 6, 2)</f>
        <v>#VALUE!</v>
      </c>
      <c r="D94" t="e">
        <f>MID(_posts[[#This Row],[Name]], 9, 2)</f>
        <v>#VALUE!</v>
      </c>
      <c r="E94" t="e">
        <f t="shared" si="1"/>
        <v>#VALUE!</v>
      </c>
    </row>
    <row r="95" spans="1:5">
      <c r="A95" t="e">
        <f>MID(_posts[[#This Row],[Name]],12,LEN(_posts[[#This Row],[Name]])-(11+LEN(_posts[[#This Row],[Extension]])))</f>
        <v>#VALUE!</v>
      </c>
      <c r="B95" t="e">
        <f>MID(_posts[[#This Row],[Name]], 1, 4)</f>
        <v>#VALUE!</v>
      </c>
      <c r="C95" t="e">
        <f>MID(_posts[[#This Row],[Name]], 6, 2)</f>
        <v>#VALUE!</v>
      </c>
      <c r="D95" t="e">
        <f>MID(_posts[[#This Row],[Name]], 9, 2)</f>
        <v>#VALUE!</v>
      </c>
      <c r="E95" t="e">
        <f t="shared" si="1"/>
        <v>#VALUE!</v>
      </c>
    </row>
    <row r="96" spans="1:5">
      <c r="A96" t="e">
        <f>MID(_posts[[#This Row],[Name]],12,LEN(_posts[[#This Row],[Name]])-(11+LEN(_posts[[#This Row],[Extension]])))</f>
        <v>#VALUE!</v>
      </c>
      <c r="B96" t="e">
        <f>MID(_posts[[#This Row],[Name]], 1, 4)</f>
        <v>#VALUE!</v>
      </c>
      <c r="C96" t="e">
        <f>MID(_posts[[#This Row],[Name]], 6, 2)</f>
        <v>#VALUE!</v>
      </c>
      <c r="D96" t="e">
        <f>MID(_posts[[#This Row],[Name]], 9, 2)</f>
        <v>#VALUE!</v>
      </c>
      <c r="E96" t="e">
        <f t="shared" si="1"/>
        <v>#VALUE!</v>
      </c>
    </row>
    <row r="97" spans="1:5">
      <c r="A97" t="e">
        <f>MID(_posts[[#This Row],[Name]],12,LEN(_posts[[#This Row],[Name]])-(11+LEN(_posts[[#This Row],[Extension]])))</f>
        <v>#VALUE!</v>
      </c>
      <c r="B97" t="e">
        <f>MID(_posts[[#This Row],[Name]], 1, 4)</f>
        <v>#VALUE!</v>
      </c>
      <c r="C97" t="e">
        <f>MID(_posts[[#This Row],[Name]], 6, 2)</f>
        <v>#VALUE!</v>
      </c>
      <c r="D97" t="e">
        <f>MID(_posts[[#This Row],[Name]], 9, 2)</f>
        <v>#VALUE!</v>
      </c>
      <c r="E97" t="e">
        <f t="shared" si="1"/>
        <v>#VALUE!</v>
      </c>
    </row>
    <row r="98" spans="1:5">
      <c r="A98" t="e">
        <f>MID(_posts[[#This Row],[Name]],12,LEN(_posts[[#This Row],[Name]])-(11+LEN(_posts[[#This Row],[Extension]])))</f>
        <v>#VALUE!</v>
      </c>
      <c r="B98" t="e">
        <f>MID(_posts[[#This Row],[Name]], 1, 4)</f>
        <v>#VALUE!</v>
      </c>
      <c r="C98" t="e">
        <f>MID(_posts[[#This Row],[Name]], 6, 2)</f>
        <v>#VALUE!</v>
      </c>
      <c r="D98" t="e">
        <f>MID(_posts[[#This Row],[Name]], 9, 2)</f>
        <v>#VALUE!</v>
      </c>
      <c r="E98" t="e">
        <f t="shared" si="1"/>
        <v>#VALUE!</v>
      </c>
    </row>
    <row r="99" spans="1:5">
      <c r="A99" t="e">
        <f>MID(_posts[[#This Row],[Name]],12,LEN(_posts[[#This Row],[Name]])-(11+LEN(_posts[[#This Row],[Extension]])))</f>
        <v>#VALUE!</v>
      </c>
      <c r="B99" t="e">
        <f>MID(_posts[[#This Row],[Name]], 1, 4)</f>
        <v>#VALUE!</v>
      </c>
      <c r="C99" t="e">
        <f>MID(_posts[[#This Row],[Name]], 6, 2)</f>
        <v>#VALUE!</v>
      </c>
      <c r="D99" t="e">
        <f>MID(_posts[[#This Row],[Name]], 9, 2)</f>
        <v>#VALUE!</v>
      </c>
      <c r="E99" t="e">
        <f t="shared" si="1"/>
        <v>#VALUE!</v>
      </c>
    </row>
    <row r="100" spans="1:5">
      <c r="A100" t="e">
        <f>MID(_posts[[#This Row],[Name]],12,LEN(_posts[[#This Row],[Name]])-(11+LEN(_posts[[#This Row],[Extension]])))</f>
        <v>#VALUE!</v>
      </c>
      <c r="B100" t="e">
        <f>MID(_posts[[#This Row],[Name]], 1, 4)</f>
        <v>#VALUE!</v>
      </c>
      <c r="C100" t="e">
        <f>MID(_posts[[#This Row],[Name]], 6, 2)</f>
        <v>#VALUE!</v>
      </c>
      <c r="D100" t="e">
        <f>MID(_posts[[#This Row],[Name]], 9, 2)</f>
        <v>#VALUE!</v>
      </c>
      <c r="E100" t="e">
        <f t="shared" si="1"/>
        <v>#VALUE!</v>
      </c>
    </row>
    <row r="101" spans="1:5">
      <c r="A101" t="e">
        <f>MID(_posts[[#This Row],[Name]],12,LEN(_posts[[#This Row],[Name]])-(11+LEN(_posts[[#This Row],[Extension]])))</f>
        <v>#VALUE!</v>
      </c>
      <c r="B101" t="e">
        <f>MID(_posts[[#This Row],[Name]], 1, 4)</f>
        <v>#VALUE!</v>
      </c>
      <c r="C101" t="e">
        <f>MID(_posts[[#This Row],[Name]], 6, 2)</f>
        <v>#VALUE!</v>
      </c>
      <c r="D101" t="e">
        <f>MID(_posts[[#This Row],[Name]], 9, 2)</f>
        <v>#VALUE!</v>
      </c>
      <c r="E101" t="e">
        <f t="shared" si="1"/>
        <v>#VALUE!</v>
      </c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689D44-B2C1-455A-A8F9-80E13170C2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common</vt:lpstr>
      <vt:lpstr>params</vt:lpstr>
      <vt:lpstr>database</vt:lpstr>
      <vt:lpstr>posts</vt:lpstr>
      <vt:lpstr>tag_diff</vt:lpstr>
      <vt:lpstr>calc</vt:lpstr>
      <vt:lpstr>post-link-extract</vt:lpstr>
      <vt:lpstr>current_path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CHOYUNSIG</dc:creator>
  <cp:lastModifiedBy>윤식 조</cp:lastModifiedBy>
  <dcterms:created xsi:type="dcterms:W3CDTF">2024-02-09T17:02:12Z</dcterms:created>
  <dcterms:modified xsi:type="dcterms:W3CDTF">2024-02-14T22:52:35Z</dcterms:modified>
</cp:coreProperties>
</file>